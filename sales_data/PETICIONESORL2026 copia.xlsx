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13_ncr:1_{2FD9C744-0AD6-D243-94C3-1F699DF77356}" xr6:coauthVersionLast="47" xr6:coauthVersionMax="47" xr10:uidLastSave="{00000000-0000-0000-0000-000000000000}"/>
  <bookViews>
    <workbookView xWindow="2220" yWindow="600" windowWidth="24480" windowHeight="17400" firstSheet="13" activeTab="17" xr2:uid="{00000000-000D-0000-FFFF-FFFF00000000}"/>
  </bookViews>
  <sheets>
    <sheet name="TOTAL2026" sheetId="1" r:id="rId1"/>
    <sheet name="ENERO" sheetId="2" r:id="rId2"/>
    <sheet name="FEBRERO" sheetId="3" r:id="rId3"/>
    <sheet name="MARZO" sheetId="4" r:id="rId4"/>
    <sheet name="ABRIL" sheetId="5" r:id="rId5"/>
    <sheet name="MAYO" sheetId="6" r:id="rId6"/>
    <sheet name="JUNIO" sheetId="7" r:id="rId7"/>
    <sheet name="JULIO" sheetId="8" r:id="rId8"/>
    <sheet name="AGOSTO" sheetId="9" r:id="rId9"/>
    <sheet name="SEPTIEMBRE" sheetId="10" r:id="rId10"/>
    <sheet name="OCTUBRE" sheetId="11" r:id="rId11"/>
    <sheet name="NOVIEMBRE" sheetId="12" r:id="rId12"/>
    <sheet name="DICIEMBRE" sheetId="13" r:id="rId13"/>
    <sheet name="gastosporcentro" sheetId="14" r:id="rId14"/>
    <sheet name="solocontratosorl" sheetId="15" r:id="rId15"/>
    <sheet name="gastosorl" sheetId="16" r:id="rId16"/>
    <sheet name="códigos" sheetId="17" r:id="rId17"/>
    <sheet name="Resumen 2026" sheetId="18" r:id="rId18"/>
  </sheets>
  <definedNames>
    <definedName name="_xlnm._FilterDatabase" localSheetId="16" hidden="1">códigos!$F$1:$F$1000</definedName>
    <definedName name="_xlnm._FilterDatabase" localSheetId="0" hidden="1">TOTAL2026!$F$1:$F$1001</definedName>
  </definedNames>
  <calcPr calcId="191029"/>
  <pivotCaches>
    <pivotCache cacheId="144" r:id="rId19"/>
    <pivotCache cacheId="152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QZ3Rl7OayDic5N/X+5udEsUoWz/dJz3yf6VrcaJ1M6o="/>
    </ext>
  </extLst>
</workbook>
</file>

<file path=xl/calcChain.xml><?xml version="1.0" encoding="utf-8"?>
<calcChain xmlns="http://schemas.openxmlformats.org/spreadsheetml/2006/main">
  <c r="B10" i="18" l="1"/>
  <c r="G999" i="17"/>
  <c r="F999" i="17"/>
  <c r="E999" i="17"/>
  <c r="G998" i="17"/>
  <c r="F998" i="17"/>
  <c r="E998" i="17"/>
  <c r="G997" i="17"/>
  <c r="F997" i="17"/>
  <c r="E997" i="17"/>
  <c r="G996" i="17"/>
  <c r="F996" i="17"/>
  <c r="E996" i="17"/>
  <c r="G995" i="17"/>
  <c r="F995" i="17"/>
  <c r="E995" i="17"/>
  <c r="G994" i="17"/>
  <c r="F994" i="17"/>
  <c r="E994" i="17"/>
  <c r="G993" i="17"/>
  <c r="F993" i="17"/>
  <c r="E993" i="17"/>
  <c r="G992" i="17"/>
  <c r="F992" i="17"/>
  <c r="E992" i="17"/>
  <c r="G991" i="17"/>
  <c r="F991" i="17"/>
  <c r="E991" i="17"/>
  <c r="G990" i="17"/>
  <c r="F990" i="17"/>
  <c r="E990" i="17"/>
  <c r="G989" i="17"/>
  <c r="F989" i="17"/>
  <c r="E989" i="17"/>
  <c r="G988" i="17"/>
  <c r="F988" i="17"/>
  <c r="E988" i="17"/>
  <c r="G987" i="17"/>
  <c r="F987" i="17"/>
  <c r="E987" i="17"/>
  <c r="G986" i="17"/>
  <c r="F986" i="17"/>
  <c r="E986" i="17"/>
  <c r="G985" i="17"/>
  <c r="F985" i="17"/>
  <c r="E985" i="17"/>
  <c r="G984" i="17"/>
  <c r="F984" i="17"/>
  <c r="E984" i="17"/>
  <c r="G983" i="17"/>
  <c r="F983" i="17"/>
  <c r="E983" i="17"/>
  <c r="G982" i="17"/>
  <c r="F982" i="17"/>
  <c r="E982" i="17"/>
  <c r="G981" i="17"/>
  <c r="F981" i="17"/>
  <c r="E981" i="17"/>
  <c r="G980" i="17"/>
  <c r="F980" i="17"/>
  <c r="E980" i="17"/>
  <c r="G979" i="17"/>
  <c r="F979" i="17"/>
  <c r="E979" i="17"/>
  <c r="G978" i="17"/>
  <c r="F978" i="17"/>
  <c r="E978" i="17"/>
  <c r="G977" i="17"/>
  <c r="F977" i="17"/>
  <c r="E977" i="17"/>
  <c r="G976" i="17"/>
  <c r="F976" i="17"/>
  <c r="E976" i="17"/>
  <c r="G975" i="17"/>
  <c r="F975" i="17"/>
  <c r="E975" i="17"/>
  <c r="G974" i="17"/>
  <c r="F974" i="17"/>
  <c r="E974" i="17"/>
  <c r="G973" i="17"/>
  <c r="F973" i="17"/>
  <c r="E973" i="17"/>
  <c r="G972" i="17"/>
  <c r="F972" i="17"/>
  <c r="E972" i="17"/>
  <c r="G971" i="17"/>
  <c r="F971" i="17"/>
  <c r="E971" i="17"/>
  <c r="G970" i="17"/>
  <c r="F970" i="17"/>
  <c r="E970" i="17"/>
  <c r="G969" i="17"/>
  <c r="F969" i="17"/>
  <c r="E969" i="17"/>
  <c r="G968" i="17"/>
  <c r="F968" i="17"/>
  <c r="E968" i="17"/>
  <c r="G967" i="17"/>
  <c r="F967" i="17"/>
  <c r="E967" i="17"/>
  <c r="G966" i="17"/>
  <c r="F966" i="17"/>
  <c r="E966" i="17"/>
  <c r="G965" i="17"/>
  <c r="F965" i="17"/>
  <c r="E965" i="17"/>
  <c r="G964" i="17"/>
  <c r="F964" i="17"/>
  <c r="E964" i="17"/>
  <c r="G963" i="17"/>
  <c r="F963" i="17"/>
  <c r="E963" i="17"/>
  <c r="G962" i="17"/>
  <c r="F962" i="17"/>
  <c r="E962" i="17"/>
  <c r="G961" i="17"/>
  <c r="F961" i="17"/>
  <c r="E961" i="17"/>
  <c r="G960" i="17"/>
  <c r="F960" i="17"/>
  <c r="E960" i="17"/>
  <c r="G959" i="17"/>
  <c r="F959" i="17"/>
  <c r="E959" i="17"/>
  <c r="G958" i="17"/>
  <c r="F958" i="17"/>
  <c r="E958" i="17"/>
  <c r="G957" i="17"/>
  <c r="F957" i="17"/>
  <c r="E957" i="17"/>
  <c r="G956" i="17"/>
  <c r="F956" i="17"/>
  <c r="E956" i="17"/>
  <c r="G955" i="17"/>
  <c r="F955" i="17"/>
  <c r="E955" i="17"/>
  <c r="G954" i="17"/>
  <c r="F954" i="17"/>
  <c r="E954" i="17"/>
  <c r="G953" i="17"/>
  <c r="F953" i="17"/>
  <c r="E953" i="17"/>
  <c r="G952" i="17"/>
  <c r="F952" i="17"/>
  <c r="E952" i="17"/>
  <c r="G951" i="17"/>
  <c r="F951" i="17"/>
  <c r="E951" i="17"/>
  <c r="G950" i="17"/>
  <c r="F950" i="17"/>
  <c r="E950" i="17"/>
  <c r="G949" i="17"/>
  <c r="F949" i="17"/>
  <c r="E949" i="17"/>
  <c r="G948" i="17"/>
  <c r="F948" i="17"/>
  <c r="E948" i="17"/>
  <c r="G947" i="17"/>
  <c r="F947" i="17"/>
  <c r="E947" i="17"/>
  <c r="G946" i="17"/>
  <c r="F946" i="17"/>
  <c r="E946" i="17"/>
  <c r="G945" i="17"/>
  <c r="F945" i="17"/>
  <c r="E945" i="17"/>
  <c r="G944" i="17"/>
  <c r="F944" i="17"/>
  <c r="E944" i="17"/>
  <c r="G943" i="17"/>
  <c r="F943" i="17"/>
  <c r="E943" i="17"/>
  <c r="G942" i="17"/>
  <c r="F942" i="17"/>
  <c r="E942" i="17"/>
  <c r="G941" i="17"/>
  <c r="F941" i="17"/>
  <c r="E941" i="17"/>
  <c r="G940" i="17"/>
  <c r="F940" i="17"/>
  <c r="E940" i="17"/>
  <c r="G939" i="17"/>
  <c r="F939" i="17"/>
  <c r="E939" i="17"/>
  <c r="G938" i="17"/>
  <c r="F938" i="17"/>
  <c r="E938" i="17"/>
  <c r="G937" i="17"/>
  <c r="F937" i="17"/>
  <c r="E937" i="17"/>
  <c r="G936" i="17"/>
  <c r="F936" i="17"/>
  <c r="E936" i="17"/>
  <c r="G935" i="17"/>
  <c r="F935" i="17"/>
  <c r="E935" i="17"/>
  <c r="G934" i="17"/>
  <c r="F934" i="17"/>
  <c r="E934" i="17"/>
  <c r="G933" i="17"/>
  <c r="F933" i="17"/>
  <c r="E933" i="17"/>
  <c r="G932" i="17"/>
  <c r="F932" i="17"/>
  <c r="E932" i="17"/>
  <c r="G931" i="17"/>
  <c r="F931" i="17"/>
  <c r="E931" i="17"/>
  <c r="G930" i="17"/>
  <c r="F930" i="17"/>
  <c r="E930" i="17"/>
  <c r="G929" i="17"/>
  <c r="F929" i="17"/>
  <c r="E929" i="17"/>
  <c r="G928" i="17"/>
  <c r="F928" i="17"/>
  <c r="E928" i="17"/>
  <c r="G927" i="17"/>
  <c r="F927" i="17"/>
  <c r="E927" i="17"/>
  <c r="G926" i="17"/>
  <c r="F926" i="17"/>
  <c r="E926" i="17"/>
  <c r="G925" i="17"/>
  <c r="F925" i="17"/>
  <c r="E925" i="17"/>
  <c r="G924" i="17"/>
  <c r="F924" i="17"/>
  <c r="E924" i="17"/>
  <c r="G923" i="17"/>
  <c r="F923" i="17"/>
  <c r="E923" i="17"/>
  <c r="G922" i="17"/>
  <c r="F922" i="17"/>
  <c r="E922" i="17"/>
  <c r="G921" i="17"/>
  <c r="F921" i="17"/>
  <c r="E921" i="17"/>
  <c r="G920" i="17"/>
  <c r="F920" i="17"/>
  <c r="E920" i="17"/>
  <c r="G919" i="17"/>
  <c r="F919" i="17"/>
  <c r="E919" i="17"/>
  <c r="G918" i="17"/>
  <c r="F918" i="17"/>
  <c r="E918" i="17"/>
  <c r="G917" i="17"/>
  <c r="F917" i="17"/>
  <c r="E917" i="17"/>
  <c r="G916" i="17"/>
  <c r="F916" i="17"/>
  <c r="E916" i="17"/>
  <c r="G915" i="17"/>
  <c r="F915" i="17"/>
  <c r="E915" i="17"/>
  <c r="G914" i="17"/>
  <c r="F914" i="17"/>
  <c r="E914" i="17"/>
  <c r="G913" i="17"/>
  <c r="F913" i="17"/>
  <c r="E913" i="17"/>
  <c r="G912" i="17"/>
  <c r="F912" i="17"/>
  <c r="E912" i="17"/>
  <c r="G911" i="17"/>
  <c r="F911" i="17"/>
  <c r="E911" i="17"/>
  <c r="G910" i="17"/>
  <c r="F910" i="17"/>
  <c r="E910" i="17"/>
  <c r="G909" i="17"/>
  <c r="F909" i="17"/>
  <c r="E909" i="17"/>
  <c r="G908" i="17"/>
  <c r="F908" i="17"/>
  <c r="E908" i="17"/>
  <c r="G907" i="17"/>
  <c r="F907" i="17"/>
  <c r="E907" i="17"/>
  <c r="G906" i="17"/>
  <c r="F906" i="17"/>
  <c r="E906" i="17"/>
  <c r="G905" i="17"/>
  <c r="F905" i="17"/>
  <c r="E905" i="17"/>
  <c r="G904" i="17"/>
  <c r="F904" i="17"/>
  <c r="E904" i="17"/>
  <c r="G903" i="17"/>
  <c r="F903" i="17"/>
  <c r="E903" i="17"/>
  <c r="G902" i="17"/>
  <c r="F902" i="17"/>
  <c r="E902" i="17"/>
  <c r="G901" i="17"/>
  <c r="F901" i="17"/>
  <c r="E901" i="17"/>
  <c r="G900" i="17"/>
  <c r="F900" i="17"/>
  <c r="E900" i="17"/>
  <c r="G899" i="17"/>
  <c r="F899" i="17"/>
  <c r="E899" i="17"/>
  <c r="G898" i="17"/>
  <c r="F898" i="17"/>
  <c r="E898" i="17"/>
  <c r="G897" i="17"/>
  <c r="F897" i="17"/>
  <c r="E897" i="17"/>
  <c r="G896" i="17"/>
  <c r="F896" i="17"/>
  <c r="E896" i="17"/>
  <c r="G895" i="17"/>
  <c r="F895" i="17"/>
  <c r="E895" i="17"/>
  <c r="G894" i="17"/>
  <c r="F894" i="17"/>
  <c r="E894" i="17"/>
  <c r="G893" i="17"/>
  <c r="F893" i="17"/>
  <c r="E893" i="17"/>
  <c r="G892" i="17"/>
  <c r="F892" i="17"/>
  <c r="E892" i="17"/>
  <c r="G891" i="17"/>
  <c r="F891" i="17"/>
  <c r="E891" i="17"/>
  <c r="G890" i="17"/>
  <c r="F890" i="17"/>
  <c r="E890" i="17"/>
  <c r="G889" i="17"/>
  <c r="F889" i="17"/>
  <c r="E889" i="17"/>
  <c r="G888" i="17"/>
  <c r="F888" i="17"/>
  <c r="E888" i="17"/>
  <c r="G887" i="17"/>
  <c r="F887" i="17"/>
  <c r="E887" i="17"/>
  <c r="G886" i="17"/>
  <c r="F886" i="17"/>
  <c r="E886" i="17"/>
  <c r="G885" i="17"/>
  <c r="F885" i="17"/>
  <c r="E885" i="17"/>
  <c r="G884" i="17"/>
  <c r="F884" i="17"/>
  <c r="E884" i="17"/>
  <c r="G883" i="17"/>
  <c r="F883" i="17"/>
  <c r="E883" i="17"/>
  <c r="G882" i="17"/>
  <c r="F882" i="17"/>
  <c r="E882" i="17"/>
  <c r="G881" i="17"/>
  <c r="F881" i="17"/>
  <c r="E881" i="17"/>
  <c r="G880" i="17"/>
  <c r="F880" i="17"/>
  <c r="E880" i="17"/>
  <c r="G879" i="17"/>
  <c r="F879" i="17"/>
  <c r="E879" i="17"/>
  <c r="G878" i="17"/>
  <c r="F878" i="17"/>
  <c r="E878" i="17"/>
  <c r="G877" i="17"/>
  <c r="F877" i="17"/>
  <c r="E877" i="17"/>
  <c r="G876" i="17"/>
  <c r="F876" i="17"/>
  <c r="E876" i="17"/>
  <c r="G875" i="17"/>
  <c r="F875" i="17"/>
  <c r="E875" i="17"/>
  <c r="G874" i="17"/>
  <c r="F874" i="17"/>
  <c r="E874" i="17"/>
  <c r="G873" i="17"/>
  <c r="F873" i="17"/>
  <c r="E873" i="17"/>
  <c r="G872" i="17"/>
  <c r="F872" i="17"/>
  <c r="E872" i="17"/>
  <c r="G871" i="17"/>
  <c r="F871" i="17"/>
  <c r="E871" i="17"/>
  <c r="G870" i="17"/>
  <c r="F870" i="17"/>
  <c r="E870" i="17"/>
  <c r="G869" i="17"/>
  <c r="F869" i="17"/>
  <c r="E869" i="17"/>
  <c r="G868" i="17"/>
  <c r="F868" i="17"/>
  <c r="E868" i="17"/>
  <c r="G867" i="17"/>
  <c r="F867" i="17"/>
  <c r="E867" i="17"/>
  <c r="G866" i="17"/>
  <c r="F866" i="17"/>
  <c r="E866" i="17"/>
  <c r="G865" i="17"/>
  <c r="F865" i="17"/>
  <c r="E865" i="17"/>
  <c r="G864" i="17"/>
  <c r="F864" i="17"/>
  <c r="E864" i="17"/>
  <c r="G863" i="17"/>
  <c r="F863" i="17"/>
  <c r="E863" i="17"/>
  <c r="G862" i="17"/>
  <c r="F862" i="17"/>
  <c r="E862" i="17"/>
  <c r="G861" i="17"/>
  <c r="F861" i="17"/>
  <c r="E861" i="17"/>
  <c r="G860" i="17"/>
  <c r="F860" i="17"/>
  <c r="E860" i="17"/>
  <c r="G859" i="17"/>
  <c r="F859" i="17"/>
  <c r="E859" i="17"/>
  <c r="G858" i="17"/>
  <c r="F858" i="17"/>
  <c r="E858" i="17"/>
  <c r="G857" i="17"/>
  <c r="F857" i="17"/>
  <c r="E857" i="17"/>
  <c r="G856" i="17"/>
  <c r="F856" i="17"/>
  <c r="E856" i="17"/>
  <c r="G855" i="17"/>
  <c r="F855" i="17"/>
  <c r="E855" i="17"/>
  <c r="G854" i="17"/>
  <c r="F854" i="17"/>
  <c r="E854" i="17"/>
  <c r="G853" i="17"/>
  <c r="F853" i="17"/>
  <c r="E853" i="17"/>
  <c r="G852" i="17"/>
  <c r="F852" i="17"/>
  <c r="E852" i="17"/>
  <c r="G851" i="17"/>
  <c r="F851" i="17"/>
  <c r="E851" i="17"/>
  <c r="G850" i="17"/>
  <c r="F850" i="17"/>
  <c r="E850" i="17"/>
  <c r="G849" i="17"/>
  <c r="F849" i="17"/>
  <c r="E849" i="17"/>
  <c r="G848" i="17"/>
  <c r="F848" i="17"/>
  <c r="E848" i="17"/>
  <c r="G847" i="17"/>
  <c r="F847" i="17"/>
  <c r="E847" i="17"/>
  <c r="G846" i="17"/>
  <c r="F846" i="17"/>
  <c r="E846" i="17"/>
  <c r="G845" i="17"/>
  <c r="F845" i="17"/>
  <c r="E845" i="17"/>
  <c r="G844" i="17"/>
  <c r="F844" i="17"/>
  <c r="E844" i="17"/>
  <c r="G843" i="17"/>
  <c r="F843" i="17"/>
  <c r="E843" i="17"/>
  <c r="G842" i="17"/>
  <c r="F842" i="17"/>
  <c r="E842" i="17"/>
  <c r="G841" i="17"/>
  <c r="F841" i="17"/>
  <c r="E841" i="17"/>
  <c r="G840" i="17"/>
  <c r="F840" i="17"/>
  <c r="E840" i="17"/>
  <c r="G839" i="17"/>
  <c r="F839" i="17"/>
  <c r="E839" i="17"/>
  <c r="G838" i="17"/>
  <c r="F838" i="17"/>
  <c r="E838" i="17"/>
  <c r="G837" i="17"/>
  <c r="F837" i="17"/>
  <c r="E837" i="17"/>
  <c r="G836" i="17"/>
  <c r="F836" i="17"/>
  <c r="E836" i="17"/>
  <c r="G835" i="17"/>
  <c r="F835" i="17"/>
  <c r="E835" i="17"/>
  <c r="G834" i="17"/>
  <c r="F834" i="17"/>
  <c r="E834" i="17"/>
  <c r="G833" i="17"/>
  <c r="F833" i="17"/>
  <c r="E833" i="17"/>
  <c r="G832" i="17"/>
  <c r="F832" i="17"/>
  <c r="E832" i="17"/>
  <c r="G831" i="17"/>
  <c r="F831" i="17"/>
  <c r="E831" i="17"/>
  <c r="G830" i="17"/>
  <c r="F830" i="17"/>
  <c r="E830" i="17"/>
  <c r="G829" i="17"/>
  <c r="F829" i="17"/>
  <c r="E829" i="17"/>
  <c r="G828" i="17"/>
  <c r="F828" i="17"/>
  <c r="E828" i="17"/>
  <c r="G827" i="17"/>
  <c r="F827" i="17"/>
  <c r="E827" i="17"/>
  <c r="G826" i="17"/>
  <c r="F826" i="17"/>
  <c r="E826" i="17"/>
  <c r="G825" i="17"/>
  <c r="F825" i="17"/>
  <c r="E825" i="17"/>
  <c r="G824" i="17"/>
  <c r="F824" i="17"/>
  <c r="E824" i="17"/>
  <c r="G823" i="17"/>
  <c r="F823" i="17"/>
  <c r="E823" i="17"/>
  <c r="G822" i="17"/>
  <c r="F822" i="17"/>
  <c r="E822" i="17"/>
  <c r="G821" i="17"/>
  <c r="F821" i="17"/>
  <c r="E821" i="17"/>
  <c r="G820" i="17"/>
  <c r="F820" i="17"/>
  <c r="E820" i="17"/>
  <c r="G819" i="17"/>
  <c r="F819" i="17"/>
  <c r="E819" i="17"/>
  <c r="G818" i="17"/>
  <c r="F818" i="17"/>
  <c r="E818" i="17"/>
  <c r="G817" i="17"/>
  <c r="F817" i="17"/>
  <c r="E817" i="17"/>
  <c r="G816" i="17"/>
  <c r="F816" i="17"/>
  <c r="E816" i="17"/>
  <c r="G815" i="17"/>
  <c r="F815" i="17"/>
  <c r="E815" i="17"/>
  <c r="G814" i="17"/>
  <c r="F814" i="17"/>
  <c r="E814" i="17"/>
  <c r="G813" i="17"/>
  <c r="F813" i="17"/>
  <c r="E813" i="17"/>
  <c r="G812" i="17"/>
  <c r="F812" i="17"/>
  <c r="E812" i="17"/>
  <c r="G811" i="17"/>
  <c r="F811" i="17"/>
  <c r="E811" i="17"/>
  <c r="G810" i="17"/>
  <c r="F810" i="17"/>
  <c r="E810" i="17"/>
  <c r="G809" i="17"/>
  <c r="F809" i="17"/>
  <c r="E809" i="17"/>
  <c r="G808" i="17"/>
  <c r="F808" i="17"/>
  <c r="E808" i="17"/>
  <c r="G807" i="17"/>
  <c r="F807" i="17"/>
  <c r="E807" i="17"/>
  <c r="G806" i="17"/>
  <c r="F806" i="17"/>
  <c r="E806" i="17"/>
  <c r="G805" i="17"/>
  <c r="F805" i="17"/>
  <c r="E805" i="17"/>
  <c r="G804" i="17"/>
  <c r="F804" i="17"/>
  <c r="E804" i="17"/>
  <c r="G803" i="17"/>
  <c r="F803" i="17"/>
  <c r="E803" i="17"/>
  <c r="G802" i="17"/>
  <c r="F802" i="17"/>
  <c r="E802" i="17"/>
  <c r="G801" i="17"/>
  <c r="F801" i="17"/>
  <c r="E801" i="17"/>
  <c r="G800" i="17"/>
  <c r="F800" i="17"/>
  <c r="E800" i="17"/>
  <c r="G799" i="17"/>
  <c r="F799" i="17"/>
  <c r="E799" i="17"/>
  <c r="G798" i="17"/>
  <c r="F798" i="17"/>
  <c r="E798" i="17"/>
  <c r="G797" i="17"/>
  <c r="F797" i="17"/>
  <c r="E797" i="17"/>
  <c r="G796" i="17"/>
  <c r="F796" i="17"/>
  <c r="E796" i="17"/>
  <c r="G795" i="17"/>
  <c r="F795" i="17"/>
  <c r="E795" i="17"/>
  <c r="G794" i="17"/>
  <c r="F794" i="17"/>
  <c r="E794" i="17"/>
  <c r="G793" i="17"/>
  <c r="F793" i="17"/>
  <c r="E793" i="17"/>
  <c r="G792" i="17"/>
  <c r="F792" i="17"/>
  <c r="E792" i="17"/>
  <c r="G791" i="17"/>
  <c r="F791" i="17"/>
  <c r="E791" i="17"/>
  <c r="G790" i="17"/>
  <c r="F790" i="17"/>
  <c r="E790" i="17"/>
  <c r="G789" i="17"/>
  <c r="F789" i="17"/>
  <c r="E789" i="17"/>
  <c r="G788" i="17"/>
  <c r="F788" i="17"/>
  <c r="E788" i="17"/>
  <c r="G787" i="17"/>
  <c r="F787" i="17"/>
  <c r="E787" i="17"/>
  <c r="G786" i="17"/>
  <c r="F786" i="17"/>
  <c r="E786" i="17"/>
  <c r="G785" i="17"/>
  <c r="F785" i="17"/>
  <c r="E785" i="17"/>
  <c r="G784" i="17"/>
  <c r="F784" i="17"/>
  <c r="E784" i="17"/>
  <c r="G783" i="17"/>
  <c r="F783" i="17"/>
  <c r="E783" i="17"/>
  <c r="G782" i="17"/>
  <c r="F782" i="17"/>
  <c r="E782" i="17"/>
  <c r="G781" i="17"/>
  <c r="F781" i="17"/>
  <c r="E781" i="17"/>
  <c r="G780" i="17"/>
  <c r="F780" i="17"/>
  <c r="E780" i="17"/>
  <c r="G779" i="17"/>
  <c r="F779" i="17"/>
  <c r="E779" i="17"/>
  <c r="G778" i="17"/>
  <c r="F778" i="17"/>
  <c r="E778" i="17"/>
  <c r="G777" i="17"/>
  <c r="F777" i="17"/>
  <c r="E777" i="17"/>
  <c r="G776" i="17"/>
  <c r="F776" i="17"/>
  <c r="E776" i="17"/>
  <c r="G775" i="17"/>
  <c r="F775" i="17"/>
  <c r="E775" i="17"/>
  <c r="G774" i="17"/>
  <c r="F774" i="17"/>
  <c r="E774" i="17"/>
  <c r="G773" i="17"/>
  <c r="F773" i="17"/>
  <c r="E773" i="17"/>
  <c r="G772" i="17"/>
  <c r="F772" i="17"/>
  <c r="E772" i="17"/>
  <c r="G771" i="17"/>
  <c r="F771" i="17"/>
  <c r="E771" i="17"/>
  <c r="G770" i="17"/>
  <c r="F770" i="17"/>
  <c r="E770" i="17"/>
  <c r="G769" i="17"/>
  <c r="F769" i="17"/>
  <c r="E769" i="17"/>
  <c r="G768" i="17"/>
  <c r="F768" i="17"/>
  <c r="E768" i="17"/>
  <c r="G767" i="17"/>
  <c r="F767" i="17"/>
  <c r="E767" i="17"/>
  <c r="G766" i="17"/>
  <c r="F766" i="17"/>
  <c r="E766" i="17"/>
  <c r="G765" i="17"/>
  <c r="F765" i="17"/>
  <c r="E765" i="17"/>
  <c r="G764" i="17"/>
  <c r="F764" i="17"/>
  <c r="E764" i="17"/>
  <c r="G763" i="17"/>
  <c r="F763" i="17"/>
  <c r="E763" i="17"/>
  <c r="G762" i="17"/>
  <c r="F762" i="17"/>
  <c r="E762" i="17"/>
  <c r="G761" i="17"/>
  <c r="F761" i="17"/>
  <c r="E761" i="17"/>
  <c r="G760" i="17"/>
  <c r="F760" i="17"/>
  <c r="E760" i="17"/>
  <c r="G759" i="17"/>
  <c r="F759" i="17"/>
  <c r="E759" i="17"/>
  <c r="G758" i="17"/>
  <c r="F758" i="17"/>
  <c r="E758" i="17"/>
  <c r="G757" i="17"/>
  <c r="F757" i="17"/>
  <c r="E757" i="17"/>
  <c r="G756" i="17"/>
  <c r="F756" i="17"/>
  <c r="E756" i="17"/>
  <c r="G755" i="17"/>
  <c r="F755" i="17"/>
  <c r="E755" i="17"/>
  <c r="G754" i="17"/>
  <c r="F754" i="17"/>
  <c r="E754" i="17"/>
  <c r="G753" i="17"/>
  <c r="F753" i="17"/>
  <c r="E753" i="17"/>
  <c r="G752" i="17"/>
  <c r="F752" i="17"/>
  <c r="E752" i="17"/>
  <c r="G751" i="17"/>
  <c r="F751" i="17"/>
  <c r="E751" i="17"/>
  <c r="G750" i="17"/>
  <c r="F750" i="17"/>
  <c r="E750" i="17"/>
  <c r="G749" i="17"/>
  <c r="F749" i="17"/>
  <c r="E749" i="17"/>
  <c r="G748" i="17"/>
  <c r="F748" i="17"/>
  <c r="E748" i="17"/>
  <c r="G747" i="17"/>
  <c r="F747" i="17"/>
  <c r="E747" i="17"/>
  <c r="G746" i="17"/>
  <c r="F746" i="17"/>
  <c r="E746" i="17"/>
  <c r="G745" i="17"/>
  <c r="F745" i="17"/>
  <c r="E745" i="17"/>
  <c r="G744" i="17"/>
  <c r="F744" i="17"/>
  <c r="E744" i="17"/>
  <c r="G743" i="17"/>
  <c r="F743" i="17"/>
  <c r="E743" i="17"/>
  <c r="G742" i="17"/>
  <c r="F742" i="17"/>
  <c r="E742" i="17"/>
  <c r="G741" i="17"/>
  <c r="F741" i="17"/>
  <c r="E741" i="17"/>
  <c r="G740" i="17"/>
  <c r="F740" i="17"/>
  <c r="E740" i="17"/>
  <c r="G739" i="17"/>
  <c r="F739" i="17"/>
  <c r="E739" i="17"/>
  <c r="G738" i="17"/>
  <c r="F738" i="17"/>
  <c r="E738" i="17"/>
  <c r="G737" i="17"/>
  <c r="F737" i="17"/>
  <c r="E737" i="17"/>
  <c r="G736" i="17"/>
  <c r="F736" i="17"/>
  <c r="E736" i="17"/>
  <c r="G735" i="17"/>
  <c r="F735" i="17"/>
  <c r="E735" i="17"/>
  <c r="G734" i="17"/>
  <c r="F734" i="17"/>
  <c r="E734" i="17"/>
  <c r="G733" i="17"/>
  <c r="F733" i="17"/>
  <c r="E733" i="17"/>
  <c r="G732" i="17"/>
  <c r="F732" i="17"/>
  <c r="E732" i="17"/>
  <c r="G731" i="17"/>
  <c r="F731" i="17"/>
  <c r="E731" i="17"/>
  <c r="G730" i="17"/>
  <c r="F730" i="17"/>
  <c r="E730" i="17"/>
  <c r="G729" i="17"/>
  <c r="F729" i="17"/>
  <c r="E729" i="17"/>
  <c r="G728" i="17"/>
  <c r="F728" i="17"/>
  <c r="E728" i="17"/>
  <c r="G727" i="17"/>
  <c r="F727" i="17"/>
  <c r="E727" i="17"/>
  <c r="G726" i="17"/>
  <c r="F726" i="17"/>
  <c r="E726" i="17"/>
  <c r="G725" i="17"/>
  <c r="F725" i="17"/>
  <c r="E725" i="17"/>
  <c r="G724" i="17"/>
  <c r="F724" i="17"/>
  <c r="E724" i="17"/>
  <c r="G723" i="17"/>
  <c r="F723" i="17"/>
  <c r="E723" i="17"/>
  <c r="G722" i="17"/>
  <c r="F722" i="17"/>
  <c r="E722" i="17"/>
  <c r="G721" i="17"/>
  <c r="F721" i="17"/>
  <c r="E721" i="17"/>
  <c r="G720" i="17"/>
  <c r="F720" i="17"/>
  <c r="E720" i="17"/>
  <c r="G719" i="17"/>
  <c r="F719" i="17"/>
  <c r="E719" i="17"/>
  <c r="G718" i="17"/>
  <c r="F718" i="17"/>
  <c r="E718" i="17"/>
  <c r="G717" i="17"/>
  <c r="F717" i="17"/>
  <c r="E717" i="17"/>
  <c r="G716" i="17"/>
  <c r="F716" i="17"/>
  <c r="E716" i="17"/>
  <c r="G715" i="17"/>
  <c r="F715" i="17"/>
  <c r="E715" i="17"/>
  <c r="G714" i="17"/>
  <c r="F714" i="17"/>
  <c r="E714" i="17"/>
  <c r="G713" i="17"/>
  <c r="F713" i="17"/>
  <c r="E713" i="17"/>
  <c r="G712" i="17"/>
  <c r="F712" i="17"/>
  <c r="E712" i="17"/>
  <c r="G711" i="17"/>
  <c r="F711" i="17"/>
  <c r="E711" i="17"/>
  <c r="G710" i="17"/>
  <c r="F710" i="17"/>
  <c r="E710" i="17"/>
  <c r="G709" i="17"/>
  <c r="F709" i="17"/>
  <c r="E709" i="17"/>
  <c r="G708" i="17"/>
  <c r="F708" i="17"/>
  <c r="E708" i="17"/>
  <c r="G707" i="17"/>
  <c r="F707" i="17"/>
  <c r="E707" i="17"/>
  <c r="G706" i="17"/>
  <c r="F706" i="17"/>
  <c r="E706" i="17"/>
  <c r="G705" i="17"/>
  <c r="F705" i="17"/>
  <c r="E705" i="17"/>
  <c r="G704" i="17"/>
  <c r="F704" i="17"/>
  <c r="E704" i="17"/>
  <c r="G703" i="17"/>
  <c r="F703" i="17"/>
  <c r="E703" i="17"/>
  <c r="G702" i="17"/>
  <c r="F702" i="17"/>
  <c r="E702" i="17"/>
  <c r="G701" i="17"/>
  <c r="F701" i="17"/>
  <c r="E701" i="17"/>
  <c r="G700" i="17"/>
  <c r="F700" i="17"/>
  <c r="E700" i="17"/>
  <c r="G699" i="17"/>
  <c r="F699" i="17"/>
  <c r="E699" i="17"/>
  <c r="G698" i="17"/>
  <c r="F698" i="17"/>
  <c r="E698" i="17"/>
  <c r="G697" i="17"/>
  <c r="F697" i="17"/>
  <c r="E697" i="17"/>
  <c r="G696" i="17"/>
  <c r="F696" i="17"/>
  <c r="E696" i="17"/>
  <c r="G695" i="17"/>
  <c r="F695" i="17"/>
  <c r="E695" i="17"/>
  <c r="G694" i="17"/>
  <c r="F694" i="17"/>
  <c r="E694" i="17"/>
  <c r="G693" i="17"/>
  <c r="F693" i="17"/>
  <c r="E693" i="17"/>
  <c r="G692" i="17"/>
  <c r="F692" i="17"/>
  <c r="E692" i="17"/>
  <c r="G691" i="17"/>
  <c r="F691" i="17"/>
  <c r="E691" i="17"/>
  <c r="G690" i="17"/>
  <c r="F690" i="17"/>
  <c r="E690" i="17"/>
  <c r="G689" i="17"/>
  <c r="F689" i="17"/>
  <c r="E689" i="17"/>
  <c r="G688" i="17"/>
  <c r="F688" i="17"/>
  <c r="E688" i="17"/>
  <c r="G687" i="17"/>
  <c r="F687" i="17"/>
  <c r="E687" i="17"/>
  <c r="G686" i="17"/>
  <c r="F686" i="17"/>
  <c r="E686" i="17"/>
  <c r="G685" i="17"/>
  <c r="F685" i="17"/>
  <c r="E685" i="17"/>
  <c r="G684" i="17"/>
  <c r="F684" i="17"/>
  <c r="E684" i="17"/>
  <c r="G683" i="17"/>
  <c r="F683" i="17"/>
  <c r="E683" i="17"/>
  <c r="G682" i="17"/>
  <c r="F682" i="17"/>
  <c r="E682" i="17"/>
  <c r="G681" i="17"/>
  <c r="F681" i="17"/>
  <c r="E681" i="17"/>
  <c r="G680" i="17"/>
  <c r="F680" i="17"/>
  <c r="E680" i="17"/>
  <c r="G679" i="17"/>
  <c r="F679" i="17"/>
  <c r="E679" i="17"/>
  <c r="G678" i="17"/>
  <c r="F678" i="17"/>
  <c r="E678" i="17"/>
  <c r="G677" i="17"/>
  <c r="F677" i="17"/>
  <c r="E677" i="17"/>
  <c r="G676" i="17"/>
  <c r="F676" i="17"/>
  <c r="E676" i="17"/>
  <c r="G675" i="17"/>
  <c r="F675" i="17"/>
  <c r="E675" i="17"/>
  <c r="G674" i="17"/>
  <c r="F674" i="17"/>
  <c r="E674" i="17"/>
  <c r="G673" i="17"/>
  <c r="F673" i="17"/>
  <c r="E673" i="17"/>
  <c r="G672" i="17"/>
  <c r="F672" i="17"/>
  <c r="E672" i="17"/>
  <c r="G671" i="17"/>
  <c r="F671" i="17"/>
  <c r="E671" i="17"/>
  <c r="G670" i="17"/>
  <c r="F670" i="17"/>
  <c r="E670" i="17"/>
  <c r="G669" i="17"/>
  <c r="F669" i="17"/>
  <c r="E669" i="17"/>
  <c r="G668" i="17"/>
  <c r="F668" i="17"/>
  <c r="E668" i="17"/>
  <c r="G667" i="17"/>
  <c r="F667" i="17"/>
  <c r="E667" i="17"/>
  <c r="G666" i="17"/>
  <c r="F666" i="17"/>
  <c r="E666" i="17"/>
  <c r="G665" i="17"/>
  <c r="F665" i="17"/>
  <c r="E665" i="17"/>
  <c r="G664" i="17"/>
  <c r="F664" i="17"/>
  <c r="E664" i="17"/>
  <c r="G663" i="17"/>
  <c r="F663" i="17"/>
  <c r="E663" i="17"/>
  <c r="G662" i="17"/>
  <c r="F662" i="17"/>
  <c r="E662" i="17"/>
  <c r="G661" i="17"/>
  <c r="F661" i="17"/>
  <c r="E661" i="17"/>
  <c r="G660" i="17"/>
  <c r="F660" i="17"/>
  <c r="E660" i="17"/>
  <c r="G659" i="17"/>
  <c r="F659" i="17"/>
  <c r="E659" i="17"/>
  <c r="G658" i="17"/>
  <c r="F658" i="17"/>
  <c r="E658" i="17"/>
  <c r="G657" i="17"/>
  <c r="F657" i="17"/>
  <c r="E657" i="17"/>
  <c r="G656" i="17"/>
  <c r="F656" i="17"/>
  <c r="E656" i="17"/>
  <c r="G655" i="17"/>
  <c r="F655" i="17"/>
  <c r="E655" i="17"/>
  <c r="G654" i="17"/>
  <c r="F654" i="17"/>
  <c r="E654" i="17"/>
  <c r="G653" i="17"/>
  <c r="F653" i="17"/>
  <c r="E653" i="17"/>
  <c r="G652" i="17"/>
  <c r="F652" i="17"/>
  <c r="E652" i="17"/>
  <c r="G651" i="17"/>
  <c r="F651" i="17"/>
  <c r="E651" i="17"/>
  <c r="G650" i="17"/>
  <c r="F650" i="17"/>
  <c r="E650" i="17"/>
  <c r="G649" i="17"/>
  <c r="F649" i="17"/>
  <c r="E649" i="17"/>
  <c r="G648" i="17"/>
  <c r="F648" i="17"/>
  <c r="E648" i="17"/>
  <c r="G647" i="17"/>
  <c r="F647" i="17"/>
  <c r="E647" i="17"/>
  <c r="G646" i="17"/>
  <c r="F646" i="17"/>
  <c r="E646" i="17"/>
  <c r="G645" i="17"/>
  <c r="F645" i="17"/>
  <c r="E645" i="17"/>
  <c r="G644" i="17"/>
  <c r="F644" i="17"/>
  <c r="E644" i="17"/>
  <c r="G643" i="17"/>
  <c r="F643" i="17"/>
  <c r="E643" i="17"/>
  <c r="G642" i="17"/>
  <c r="F642" i="17"/>
  <c r="E642" i="17"/>
  <c r="G641" i="17"/>
  <c r="F641" i="17"/>
  <c r="E641" i="17"/>
  <c r="G640" i="17"/>
  <c r="F640" i="17"/>
  <c r="E640" i="17"/>
  <c r="G639" i="17"/>
  <c r="F639" i="17"/>
  <c r="E639" i="17"/>
  <c r="G638" i="17"/>
  <c r="F638" i="17"/>
  <c r="E638" i="17"/>
  <c r="G637" i="17"/>
  <c r="F637" i="17"/>
  <c r="E637" i="17"/>
  <c r="G636" i="17"/>
  <c r="F636" i="17"/>
  <c r="E636" i="17"/>
  <c r="G635" i="17"/>
  <c r="F635" i="17"/>
  <c r="E635" i="17"/>
  <c r="G634" i="17"/>
  <c r="F634" i="17"/>
  <c r="E634" i="17"/>
  <c r="G633" i="17"/>
  <c r="F633" i="17"/>
  <c r="E633" i="17"/>
  <c r="G632" i="17"/>
  <c r="F632" i="17"/>
  <c r="E632" i="17"/>
  <c r="G631" i="17"/>
  <c r="F631" i="17"/>
  <c r="E631" i="17"/>
  <c r="G630" i="17"/>
  <c r="F630" i="17"/>
  <c r="E630" i="17"/>
  <c r="G629" i="17"/>
  <c r="F629" i="17"/>
  <c r="E629" i="17"/>
  <c r="G628" i="17"/>
  <c r="F628" i="17"/>
  <c r="E628" i="17"/>
  <c r="G627" i="17"/>
  <c r="F627" i="17"/>
  <c r="E627" i="17"/>
  <c r="G626" i="17"/>
  <c r="F626" i="17"/>
  <c r="E626" i="17"/>
  <c r="G625" i="17"/>
  <c r="F625" i="17"/>
  <c r="E625" i="17"/>
  <c r="G624" i="17"/>
  <c r="F624" i="17"/>
  <c r="E624" i="17"/>
  <c r="G623" i="17"/>
  <c r="F623" i="17"/>
  <c r="E623" i="17"/>
  <c r="G622" i="17"/>
  <c r="F622" i="17"/>
  <c r="E622" i="17"/>
  <c r="G621" i="17"/>
  <c r="F621" i="17"/>
  <c r="E621" i="17"/>
  <c r="G620" i="17"/>
  <c r="F620" i="17"/>
  <c r="E620" i="17"/>
  <c r="G619" i="17"/>
  <c r="F619" i="17"/>
  <c r="E619" i="17"/>
  <c r="G618" i="17"/>
  <c r="F618" i="17"/>
  <c r="E618" i="17"/>
  <c r="G617" i="17"/>
  <c r="F617" i="17"/>
  <c r="E617" i="17"/>
  <c r="G616" i="17"/>
  <c r="F616" i="17"/>
  <c r="E616" i="17"/>
  <c r="G615" i="17"/>
  <c r="F615" i="17"/>
  <c r="E615" i="17"/>
  <c r="G614" i="17"/>
  <c r="F614" i="17"/>
  <c r="E614" i="17"/>
  <c r="G613" i="17"/>
  <c r="F613" i="17"/>
  <c r="E613" i="17"/>
  <c r="G612" i="17"/>
  <c r="F612" i="17"/>
  <c r="E612" i="17"/>
  <c r="G611" i="17"/>
  <c r="F611" i="17"/>
  <c r="E611" i="17"/>
  <c r="G610" i="17"/>
  <c r="F610" i="17"/>
  <c r="E610" i="17"/>
  <c r="G609" i="17"/>
  <c r="F609" i="17"/>
  <c r="E609" i="17"/>
  <c r="G608" i="17"/>
  <c r="F608" i="17"/>
  <c r="E608" i="17"/>
  <c r="G607" i="17"/>
  <c r="F607" i="17"/>
  <c r="E607" i="17"/>
  <c r="G606" i="17"/>
  <c r="F606" i="17"/>
  <c r="E606" i="17"/>
  <c r="G605" i="17"/>
  <c r="F605" i="17"/>
  <c r="E605" i="17"/>
  <c r="G604" i="17"/>
  <c r="F604" i="17"/>
  <c r="E604" i="17"/>
  <c r="G603" i="17"/>
  <c r="F603" i="17"/>
  <c r="E603" i="17"/>
  <c r="G602" i="17"/>
  <c r="F602" i="17"/>
  <c r="E602" i="17"/>
  <c r="G601" i="17"/>
  <c r="F601" i="17"/>
  <c r="E601" i="17"/>
  <c r="G600" i="17"/>
  <c r="F600" i="17"/>
  <c r="E600" i="17"/>
  <c r="G599" i="17"/>
  <c r="F599" i="17"/>
  <c r="E599" i="17"/>
  <c r="G598" i="17"/>
  <c r="F598" i="17"/>
  <c r="E598" i="17"/>
  <c r="G597" i="17"/>
  <c r="F597" i="17"/>
  <c r="E597" i="17"/>
  <c r="G596" i="17"/>
  <c r="F596" i="17"/>
  <c r="E596" i="17"/>
  <c r="G595" i="17"/>
  <c r="F595" i="17"/>
  <c r="E595" i="17"/>
  <c r="G594" i="17"/>
  <c r="F594" i="17"/>
  <c r="E594" i="17"/>
  <c r="G593" i="17"/>
  <c r="F593" i="17"/>
  <c r="E593" i="17"/>
  <c r="G592" i="17"/>
  <c r="F592" i="17"/>
  <c r="E592" i="17"/>
  <c r="G591" i="17"/>
  <c r="F591" i="17"/>
  <c r="E591" i="17"/>
  <c r="G590" i="17"/>
  <c r="F590" i="17"/>
  <c r="E590" i="17"/>
  <c r="G589" i="17"/>
  <c r="F589" i="17"/>
  <c r="E589" i="17"/>
  <c r="G588" i="17"/>
  <c r="F588" i="17"/>
  <c r="E588" i="17"/>
  <c r="G587" i="17"/>
  <c r="F587" i="17"/>
  <c r="E587" i="17"/>
  <c r="G586" i="17"/>
  <c r="F586" i="17"/>
  <c r="E586" i="17"/>
  <c r="G585" i="17"/>
  <c r="F585" i="17"/>
  <c r="E585" i="17"/>
  <c r="G584" i="17"/>
  <c r="F584" i="17"/>
  <c r="E584" i="17"/>
  <c r="G583" i="17"/>
  <c r="F583" i="17"/>
  <c r="E583" i="17"/>
  <c r="G582" i="17"/>
  <c r="F582" i="17"/>
  <c r="E582" i="17"/>
  <c r="G581" i="17"/>
  <c r="F581" i="17"/>
  <c r="E581" i="17"/>
  <c r="G580" i="17"/>
  <c r="F580" i="17"/>
  <c r="E580" i="17"/>
  <c r="G579" i="17"/>
  <c r="F579" i="17"/>
  <c r="E579" i="17"/>
  <c r="G578" i="17"/>
  <c r="F578" i="17"/>
  <c r="E578" i="17"/>
  <c r="G577" i="17"/>
  <c r="F577" i="17"/>
  <c r="E577" i="17"/>
  <c r="G576" i="17"/>
  <c r="F576" i="17"/>
  <c r="E576" i="17"/>
  <c r="G575" i="17"/>
  <c r="F575" i="17"/>
  <c r="E575" i="17"/>
  <c r="G574" i="17"/>
  <c r="F574" i="17"/>
  <c r="E574" i="17"/>
  <c r="G573" i="17"/>
  <c r="F573" i="17"/>
  <c r="E573" i="17"/>
  <c r="G572" i="17"/>
  <c r="F572" i="17"/>
  <c r="E572" i="17"/>
  <c r="G571" i="17"/>
  <c r="F571" i="17"/>
  <c r="E571" i="17"/>
  <c r="G570" i="17"/>
  <c r="F570" i="17"/>
  <c r="E570" i="17"/>
  <c r="G569" i="17"/>
  <c r="F569" i="17"/>
  <c r="E569" i="17"/>
  <c r="G568" i="17"/>
  <c r="F568" i="17"/>
  <c r="E568" i="17"/>
  <c r="G567" i="17"/>
  <c r="F567" i="17"/>
  <c r="E567" i="17"/>
  <c r="G566" i="17"/>
  <c r="F566" i="17"/>
  <c r="E566" i="17"/>
  <c r="G565" i="17"/>
  <c r="F565" i="17"/>
  <c r="E565" i="17"/>
  <c r="G564" i="17"/>
  <c r="F564" i="17"/>
  <c r="E564" i="17"/>
  <c r="G563" i="17"/>
  <c r="F563" i="17"/>
  <c r="E563" i="17"/>
  <c r="G562" i="17"/>
  <c r="F562" i="17"/>
  <c r="E562" i="17"/>
  <c r="G561" i="17"/>
  <c r="F561" i="17"/>
  <c r="E561" i="17"/>
  <c r="G560" i="17"/>
  <c r="F560" i="17"/>
  <c r="E560" i="17"/>
  <c r="G559" i="17"/>
  <c r="F559" i="17"/>
  <c r="E559" i="17"/>
  <c r="G558" i="17"/>
  <c r="F558" i="17"/>
  <c r="E558" i="17"/>
  <c r="G557" i="17"/>
  <c r="F557" i="17"/>
  <c r="E557" i="17"/>
  <c r="G556" i="17"/>
  <c r="F556" i="17"/>
  <c r="E556" i="17"/>
  <c r="G555" i="17"/>
  <c r="F555" i="17"/>
  <c r="E555" i="17"/>
  <c r="G554" i="17"/>
  <c r="F554" i="17"/>
  <c r="E554" i="17"/>
  <c r="G553" i="17"/>
  <c r="F553" i="17"/>
  <c r="E553" i="17"/>
  <c r="G552" i="17"/>
  <c r="F552" i="17"/>
  <c r="E552" i="17"/>
  <c r="G551" i="17"/>
  <c r="F551" i="17"/>
  <c r="E551" i="17"/>
  <c r="G550" i="17"/>
  <c r="F550" i="17"/>
  <c r="E550" i="17"/>
  <c r="G549" i="17"/>
  <c r="F549" i="17"/>
  <c r="E549" i="17"/>
  <c r="G548" i="17"/>
  <c r="F548" i="17"/>
  <c r="E548" i="17"/>
  <c r="G547" i="17"/>
  <c r="F547" i="17"/>
  <c r="E547" i="17"/>
  <c r="G546" i="17"/>
  <c r="F546" i="17"/>
  <c r="E546" i="17"/>
  <c r="G545" i="17"/>
  <c r="F545" i="17"/>
  <c r="E545" i="17"/>
  <c r="G544" i="17"/>
  <c r="F544" i="17"/>
  <c r="E544" i="17"/>
  <c r="G543" i="17"/>
  <c r="F543" i="17"/>
  <c r="E543" i="17"/>
  <c r="G542" i="17"/>
  <c r="F542" i="17"/>
  <c r="E542" i="17"/>
  <c r="G541" i="17"/>
  <c r="F541" i="17"/>
  <c r="E541" i="17"/>
  <c r="G540" i="17"/>
  <c r="F540" i="17"/>
  <c r="E540" i="17"/>
  <c r="G539" i="17"/>
  <c r="F539" i="17"/>
  <c r="E539" i="17"/>
  <c r="G538" i="17"/>
  <c r="F538" i="17"/>
  <c r="E538" i="17"/>
  <c r="G537" i="17"/>
  <c r="F537" i="17"/>
  <c r="E537" i="17"/>
  <c r="G536" i="17"/>
  <c r="F536" i="17"/>
  <c r="E536" i="17"/>
  <c r="G535" i="17"/>
  <c r="F535" i="17"/>
  <c r="E535" i="17"/>
  <c r="G534" i="17"/>
  <c r="F534" i="17"/>
  <c r="E534" i="17"/>
  <c r="G533" i="17"/>
  <c r="F533" i="17"/>
  <c r="E533" i="17"/>
  <c r="G532" i="17"/>
  <c r="F532" i="17"/>
  <c r="E532" i="17"/>
  <c r="G531" i="17"/>
  <c r="F531" i="17"/>
  <c r="E531" i="17"/>
  <c r="G530" i="17"/>
  <c r="F530" i="17"/>
  <c r="E530" i="17"/>
  <c r="G529" i="17"/>
  <c r="F529" i="17"/>
  <c r="E529" i="17"/>
  <c r="G528" i="17"/>
  <c r="F528" i="17"/>
  <c r="E528" i="17"/>
  <c r="G527" i="17"/>
  <c r="F527" i="17"/>
  <c r="E527" i="17"/>
  <c r="G526" i="17"/>
  <c r="F526" i="17"/>
  <c r="E526" i="17"/>
  <c r="G525" i="17"/>
  <c r="F525" i="17"/>
  <c r="E525" i="17"/>
  <c r="G524" i="17"/>
  <c r="F524" i="17"/>
  <c r="E524" i="17"/>
  <c r="G523" i="17"/>
  <c r="F523" i="17"/>
  <c r="E523" i="17"/>
  <c r="G522" i="17"/>
  <c r="F522" i="17"/>
  <c r="E522" i="17"/>
  <c r="G521" i="17"/>
  <c r="F521" i="17"/>
  <c r="E521" i="17"/>
  <c r="G520" i="17"/>
  <c r="F520" i="17"/>
  <c r="E520" i="17"/>
  <c r="G519" i="17"/>
  <c r="F519" i="17"/>
  <c r="E519" i="17"/>
  <c r="G518" i="17"/>
  <c r="F518" i="17"/>
  <c r="E518" i="17"/>
  <c r="G517" i="17"/>
  <c r="F517" i="17"/>
  <c r="E517" i="17"/>
  <c r="G516" i="17"/>
  <c r="F516" i="17"/>
  <c r="E516" i="17"/>
  <c r="G515" i="17"/>
  <c r="F515" i="17"/>
  <c r="E515" i="17"/>
  <c r="G514" i="17"/>
  <c r="F514" i="17"/>
  <c r="E514" i="17"/>
  <c r="G513" i="17"/>
  <c r="F513" i="17"/>
  <c r="E513" i="17"/>
  <c r="G512" i="17"/>
  <c r="F512" i="17"/>
  <c r="E512" i="17"/>
  <c r="G511" i="17"/>
  <c r="F511" i="17"/>
  <c r="E511" i="17"/>
  <c r="G510" i="17"/>
  <c r="F510" i="17"/>
  <c r="E510" i="17"/>
  <c r="G509" i="17"/>
  <c r="F509" i="17"/>
  <c r="E509" i="17"/>
  <c r="G508" i="17"/>
  <c r="F508" i="17"/>
  <c r="E508" i="17"/>
  <c r="G507" i="17"/>
  <c r="F507" i="17"/>
  <c r="E507" i="17"/>
  <c r="G506" i="17"/>
  <c r="F506" i="17"/>
  <c r="E506" i="17"/>
  <c r="G505" i="17"/>
  <c r="F505" i="17"/>
  <c r="E505" i="17"/>
  <c r="G504" i="17"/>
  <c r="F504" i="17"/>
  <c r="E504" i="17"/>
  <c r="G503" i="17"/>
  <c r="F503" i="17"/>
  <c r="E503" i="17"/>
  <c r="G502" i="17"/>
  <c r="F502" i="17"/>
  <c r="E502" i="17"/>
  <c r="G501" i="17"/>
  <c r="F501" i="17"/>
  <c r="E501" i="17"/>
  <c r="G500" i="17"/>
  <c r="F500" i="17"/>
  <c r="E500" i="17"/>
  <c r="G499" i="17"/>
  <c r="F499" i="17"/>
  <c r="E499" i="17"/>
  <c r="G498" i="17"/>
  <c r="F498" i="17"/>
  <c r="E498" i="17"/>
  <c r="G497" i="17"/>
  <c r="F497" i="17"/>
  <c r="E497" i="17"/>
  <c r="G496" i="17"/>
  <c r="F496" i="17"/>
  <c r="E496" i="17"/>
  <c r="G495" i="17"/>
  <c r="F495" i="17"/>
  <c r="E495" i="17"/>
  <c r="G494" i="17"/>
  <c r="F494" i="17"/>
  <c r="E494" i="17"/>
  <c r="G493" i="17"/>
  <c r="F493" i="17"/>
  <c r="E493" i="17"/>
  <c r="G492" i="17"/>
  <c r="F492" i="17"/>
  <c r="E492" i="17"/>
  <c r="G491" i="17"/>
  <c r="F491" i="17"/>
  <c r="E491" i="17"/>
  <c r="G490" i="17"/>
  <c r="F490" i="17"/>
  <c r="E490" i="17"/>
  <c r="G489" i="17"/>
  <c r="F489" i="17"/>
  <c r="E489" i="17"/>
  <c r="G488" i="17"/>
  <c r="F488" i="17"/>
  <c r="E488" i="17"/>
  <c r="G487" i="17"/>
  <c r="F487" i="17"/>
  <c r="E487" i="17"/>
  <c r="G486" i="17"/>
  <c r="F486" i="17"/>
  <c r="E486" i="17"/>
  <c r="G485" i="17"/>
  <c r="F485" i="17"/>
  <c r="E485" i="17"/>
  <c r="G484" i="17"/>
  <c r="F484" i="17"/>
  <c r="E484" i="17"/>
  <c r="G483" i="17"/>
  <c r="F483" i="17"/>
  <c r="E483" i="17"/>
  <c r="G482" i="17"/>
  <c r="F482" i="17"/>
  <c r="E482" i="17"/>
  <c r="G481" i="17"/>
  <c r="F481" i="17"/>
  <c r="E481" i="17"/>
  <c r="G480" i="17"/>
  <c r="F480" i="17"/>
  <c r="E480" i="17"/>
  <c r="G479" i="17"/>
  <c r="F479" i="17"/>
  <c r="E479" i="17"/>
  <c r="G478" i="17"/>
  <c r="F478" i="17"/>
  <c r="E478" i="17"/>
  <c r="G477" i="17"/>
  <c r="F477" i="17"/>
  <c r="E477" i="17"/>
  <c r="G476" i="17"/>
  <c r="F476" i="17"/>
  <c r="E476" i="17"/>
  <c r="G475" i="17"/>
  <c r="F475" i="17"/>
  <c r="E475" i="17"/>
  <c r="G474" i="17"/>
  <c r="F474" i="17"/>
  <c r="E474" i="17"/>
  <c r="G473" i="17"/>
  <c r="F473" i="17"/>
  <c r="E473" i="17"/>
  <c r="G472" i="17"/>
  <c r="F472" i="17"/>
  <c r="E472" i="17"/>
  <c r="G471" i="17"/>
  <c r="F471" i="17"/>
  <c r="E471" i="17"/>
  <c r="G470" i="17"/>
  <c r="F470" i="17"/>
  <c r="E470" i="17"/>
  <c r="G469" i="17"/>
  <c r="F469" i="17"/>
  <c r="E469" i="17"/>
  <c r="G468" i="17"/>
  <c r="F468" i="17"/>
  <c r="E468" i="17"/>
  <c r="G467" i="17"/>
  <c r="F467" i="17"/>
  <c r="E467" i="17"/>
  <c r="G466" i="17"/>
  <c r="F466" i="17"/>
  <c r="E466" i="17"/>
  <c r="G465" i="17"/>
  <c r="F465" i="17"/>
  <c r="E465" i="17"/>
  <c r="G464" i="17"/>
  <c r="F464" i="17"/>
  <c r="E464" i="17"/>
  <c r="G463" i="17"/>
  <c r="F463" i="17"/>
  <c r="E463" i="17"/>
  <c r="G462" i="17"/>
  <c r="F462" i="17"/>
  <c r="E462" i="17"/>
  <c r="G461" i="17"/>
  <c r="F461" i="17"/>
  <c r="E461" i="17"/>
  <c r="G460" i="17"/>
  <c r="F460" i="17"/>
  <c r="E460" i="17"/>
  <c r="G459" i="17"/>
  <c r="F459" i="17"/>
  <c r="E459" i="17"/>
  <c r="G458" i="17"/>
  <c r="F458" i="17"/>
  <c r="E458" i="17"/>
  <c r="G457" i="17"/>
  <c r="F457" i="17"/>
  <c r="E457" i="17"/>
  <c r="G456" i="17"/>
  <c r="F456" i="17"/>
  <c r="E456" i="17"/>
  <c r="G455" i="17"/>
  <c r="F455" i="17"/>
  <c r="E455" i="17"/>
  <c r="G454" i="17"/>
  <c r="F454" i="17"/>
  <c r="E454" i="17"/>
  <c r="G453" i="17"/>
  <c r="F453" i="17"/>
  <c r="E453" i="17"/>
  <c r="G452" i="17"/>
  <c r="F452" i="17"/>
  <c r="E452" i="17"/>
  <c r="G451" i="17"/>
  <c r="F451" i="17"/>
  <c r="E451" i="17"/>
  <c r="G450" i="17"/>
  <c r="F450" i="17"/>
  <c r="E450" i="17"/>
  <c r="G449" i="17"/>
  <c r="F449" i="17"/>
  <c r="E449" i="17"/>
  <c r="G448" i="17"/>
  <c r="F448" i="17"/>
  <c r="E448" i="17"/>
  <c r="G447" i="17"/>
  <c r="F447" i="17"/>
  <c r="E447" i="17"/>
  <c r="G446" i="17"/>
  <c r="F446" i="17"/>
  <c r="E446" i="17"/>
  <c r="G445" i="17"/>
  <c r="F445" i="17"/>
  <c r="E445" i="17"/>
  <c r="G444" i="17"/>
  <c r="F444" i="17"/>
  <c r="E444" i="17"/>
  <c r="G443" i="17"/>
  <c r="F443" i="17"/>
  <c r="E443" i="17"/>
  <c r="G442" i="17"/>
  <c r="F442" i="17"/>
  <c r="E442" i="17"/>
  <c r="G441" i="17"/>
  <c r="F441" i="17"/>
  <c r="E441" i="17"/>
  <c r="G440" i="17"/>
  <c r="F440" i="17"/>
  <c r="E440" i="17"/>
  <c r="G439" i="17"/>
  <c r="F439" i="17"/>
  <c r="E439" i="17"/>
  <c r="G438" i="17"/>
  <c r="F438" i="17"/>
  <c r="E438" i="17"/>
  <c r="G437" i="17"/>
  <c r="F437" i="17"/>
  <c r="E437" i="17"/>
  <c r="G436" i="17"/>
  <c r="F436" i="17"/>
  <c r="E436" i="17"/>
  <c r="G435" i="17"/>
  <c r="F435" i="17"/>
  <c r="E435" i="17"/>
  <c r="G434" i="17"/>
  <c r="F434" i="17"/>
  <c r="E434" i="17"/>
  <c r="G433" i="17"/>
  <c r="F433" i="17"/>
  <c r="E433" i="17"/>
  <c r="G432" i="17"/>
  <c r="F432" i="17"/>
  <c r="E432" i="17"/>
  <c r="G431" i="17"/>
  <c r="F431" i="17"/>
  <c r="E431" i="17"/>
  <c r="G430" i="17"/>
  <c r="F430" i="17"/>
  <c r="E430" i="17"/>
  <c r="G429" i="17"/>
  <c r="F429" i="17"/>
  <c r="E429" i="17"/>
  <c r="G428" i="17"/>
  <c r="F428" i="17"/>
  <c r="E428" i="17"/>
  <c r="G427" i="17"/>
  <c r="F427" i="17"/>
  <c r="E427" i="17"/>
  <c r="G426" i="17"/>
  <c r="F426" i="17"/>
  <c r="E426" i="17"/>
  <c r="G425" i="17"/>
  <c r="F425" i="17"/>
  <c r="E425" i="17"/>
  <c r="G424" i="17"/>
  <c r="F424" i="17"/>
  <c r="E424" i="17"/>
  <c r="G423" i="17"/>
  <c r="F423" i="17"/>
  <c r="E423" i="17"/>
  <c r="G422" i="17"/>
  <c r="F422" i="17"/>
  <c r="E422" i="17"/>
  <c r="G421" i="17"/>
  <c r="F421" i="17"/>
  <c r="E421" i="17"/>
  <c r="G420" i="17"/>
  <c r="F420" i="17"/>
  <c r="E420" i="17"/>
  <c r="G419" i="17"/>
  <c r="F419" i="17"/>
  <c r="E419" i="17"/>
  <c r="G418" i="17"/>
  <c r="F418" i="17"/>
  <c r="E418" i="17"/>
  <c r="G417" i="17"/>
  <c r="F417" i="17"/>
  <c r="E417" i="17"/>
  <c r="G416" i="17"/>
  <c r="F416" i="17"/>
  <c r="E416" i="17"/>
  <c r="G415" i="17"/>
  <c r="F415" i="17"/>
  <c r="E415" i="17"/>
  <c r="G414" i="17"/>
  <c r="F414" i="17"/>
  <c r="E414" i="17"/>
  <c r="G413" i="17"/>
  <c r="F413" i="17"/>
  <c r="E413" i="17"/>
  <c r="G412" i="17"/>
  <c r="F412" i="17"/>
  <c r="E412" i="17"/>
  <c r="G411" i="17"/>
  <c r="F411" i="17"/>
  <c r="E411" i="17"/>
  <c r="G410" i="17"/>
  <c r="F410" i="17"/>
  <c r="E410" i="17"/>
  <c r="G409" i="17"/>
  <c r="F409" i="17"/>
  <c r="E409" i="17"/>
  <c r="G408" i="17"/>
  <c r="F408" i="17"/>
  <c r="E408" i="17"/>
  <c r="G407" i="17"/>
  <c r="F407" i="17"/>
  <c r="E407" i="17"/>
  <c r="G406" i="17"/>
  <c r="F406" i="17"/>
  <c r="E406" i="17"/>
  <c r="G405" i="17"/>
  <c r="F405" i="17"/>
  <c r="E405" i="17"/>
  <c r="G404" i="17"/>
  <c r="F404" i="17"/>
  <c r="E404" i="17"/>
  <c r="G403" i="17"/>
  <c r="F403" i="17"/>
  <c r="E403" i="17"/>
  <c r="G402" i="17"/>
  <c r="F402" i="17"/>
  <c r="E402" i="17"/>
  <c r="G401" i="17"/>
  <c r="F401" i="17"/>
  <c r="E401" i="17"/>
  <c r="G400" i="17"/>
  <c r="F400" i="17"/>
  <c r="E400" i="17"/>
  <c r="G399" i="17"/>
  <c r="F399" i="17"/>
  <c r="E399" i="17"/>
  <c r="G398" i="17"/>
  <c r="F398" i="17"/>
  <c r="E398" i="17"/>
  <c r="G397" i="17"/>
  <c r="F397" i="17"/>
  <c r="E397" i="17"/>
  <c r="G396" i="17"/>
  <c r="F396" i="17"/>
  <c r="E396" i="17"/>
  <c r="G395" i="17"/>
  <c r="F395" i="17"/>
  <c r="E395" i="17"/>
  <c r="G394" i="17"/>
  <c r="F394" i="17"/>
  <c r="E394" i="17"/>
  <c r="G393" i="17"/>
  <c r="F393" i="17"/>
  <c r="E393" i="17"/>
  <c r="G392" i="17"/>
  <c r="F392" i="17"/>
  <c r="E392" i="17"/>
  <c r="G391" i="17"/>
  <c r="F391" i="17"/>
  <c r="E391" i="17"/>
  <c r="G390" i="17"/>
  <c r="F390" i="17"/>
  <c r="E390" i="17"/>
  <c r="G389" i="17"/>
  <c r="F389" i="17"/>
  <c r="E389" i="17"/>
  <c r="G388" i="17"/>
  <c r="F388" i="17"/>
  <c r="E388" i="17"/>
  <c r="G387" i="17"/>
  <c r="F387" i="17"/>
  <c r="E387" i="17"/>
  <c r="G386" i="17"/>
  <c r="F386" i="17"/>
  <c r="E386" i="17"/>
  <c r="G385" i="17"/>
  <c r="F385" i="17"/>
  <c r="E385" i="17"/>
  <c r="G384" i="17"/>
  <c r="F384" i="17"/>
  <c r="E384" i="17"/>
  <c r="G383" i="17"/>
  <c r="F383" i="17"/>
  <c r="E383" i="17"/>
  <c r="G382" i="17"/>
  <c r="F382" i="17"/>
  <c r="E382" i="17"/>
  <c r="G381" i="17"/>
  <c r="F381" i="17"/>
  <c r="E381" i="17"/>
  <c r="G380" i="17"/>
  <c r="F380" i="17"/>
  <c r="E380" i="17"/>
  <c r="G379" i="17"/>
  <c r="F379" i="17"/>
  <c r="E379" i="17"/>
  <c r="G378" i="17"/>
  <c r="F378" i="17"/>
  <c r="E378" i="17"/>
  <c r="G377" i="17"/>
  <c r="F377" i="17"/>
  <c r="E377" i="17"/>
  <c r="G376" i="17"/>
  <c r="F376" i="17"/>
  <c r="E376" i="17"/>
  <c r="G375" i="17"/>
  <c r="F375" i="17"/>
  <c r="E375" i="17"/>
  <c r="G374" i="17"/>
  <c r="F374" i="17"/>
  <c r="E374" i="17"/>
  <c r="G373" i="17"/>
  <c r="F373" i="17"/>
  <c r="E373" i="17"/>
  <c r="G372" i="17"/>
  <c r="F372" i="17"/>
  <c r="E372" i="17"/>
  <c r="G371" i="17"/>
  <c r="F371" i="17"/>
  <c r="E371" i="17"/>
  <c r="G370" i="17"/>
  <c r="F370" i="17"/>
  <c r="E370" i="17"/>
  <c r="G369" i="17"/>
  <c r="F369" i="17"/>
  <c r="E369" i="17"/>
  <c r="G368" i="17"/>
  <c r="F368" i="17"/>
  <c r="E368" i="17"/>
  <c r="G367" i="17"/>
  <c r="F367" i="17"/>
  <c r="E367" i="17"/>
  <c r="G366" i="17"/>
  <c r="F366" i="17"/>
  <c r="E366" i="17"/>
  <c r="G365" i="17"/>
  <c r="F365" i="17"/>
  <c r="E365" i="17"/>
  <c r="G364" i="17"/>
  <c r="F364" i="17"/>
  <c r="E364" i="17"/>
  <c r="G363" i="17"/>
  <c r="F363" i="17"/>
  <c r="E363" i="17"/>
  <c r="G362" i="17"/>
  <c r="F362" i="17"/>
  <c r="E362" i="17"/>
  <c r="G361" i="17"/>
  <c r="F361" i="17"/>
  <c r="E361" i="17"/>
  <c r="G360" i="17"/>
  <c r="F360" i="17"/>
  <c r="E360" i="17"/>
  <c r="G359" i="17"/>
  <c r="F359" i="17"/>
  <c r="E359" i="17"/>
  <c r="G358" i="17"/>
  <c r="F358" i="17"/>
  <c r="E358" i="17"/>
  <c r="G357" i="17"/>
  <c r="F357" i="17"/>
  <c r="E357" i="17"/>
  <c r="G356" i="17"/>
  <c r="F356" i="17"/>
  <c r="E356" i="17"/>
  <c r="G355" i="17"/>
  <c r="F355" i="17"/>
  <c r="E355" i="17"/>
  <c r="G354" i="17"/>
  <c r="F354" i="17"/>
  <c r="E354" i="17"/>
  <c r="G353" i="17"/>
  <c r="F353" i="17"/>
  <c r="E353" i="17"/>
  <c r="G352" i="17"/>
  <c r="F352" i="17"/>
  <c r="E352" i="17"/>
  <c r="G351" i="17"/>
  <c r="F351" i="17"/>
  <c r="E351" i="17"/>
  <c r="G350" i="17"/>
  <c r="F350" i="17"/>
  <c r="E350" i="17"/>
  <c r="G349" i="17"/>
  <c r="F349" i="17"/>
  <c r="E349" i="17"/>
  <c r="G348" i="17"/>
  <c r="F348" i="17"/>
  <c r="E348" i="17"/>
  <c r="G347" i="17"/>
  <c r="F347" i="17"/>
  <c r="E347" i="17"/>
  <c r="G346" i="17"/>
  <c r="F346" i="17"/>
  <c r="E346" i="17"/>
  <c r="G345" i="17"/>
  <c r="F345" i="17"/>
  <c r="E345" i="17"/>
  <c r="G344" i="17"/>
  <c r="F344" i="17"/>
  <c r="E344" i="17"/>
  <c r="G343" i="17"/>
  <c r="F343" i="17"/>
  <c r="E343" i="17"/>
  <c r="G342" i="17"/>
  <c r="F342" i="17"/>
  <c r="E342" i="17"/>
  <c r="G341" i="17"/>
  <c r="F341" i="17"/>
  <c r="E341" i="17"/>
  <c r="G340" i="17"/>
  <c r="F340" i="17"/>
  <c r="E340" i="17"/>
  <c r="G339" i="17"/>
  <c r="F339" i="17"/>
  <c r="E339" i="17"/>
  <c r="G338" i="17"/>
  <c r="F338" i="17"/>
  <c r="E338" i="17"/>
  <c r="G337" i="17"/>
  <c r="F337" i="17"/>
  <c r="E337" i="17"/>
  <c r="G336" i="17"/>
  <c r="F336" i="17"/>
  <c r="E336" i="17"/>
  <c r="G335" i="17"/>
  <c r="F335" i="17"/>
  <c r="E335" i="17"/>
  <c r="G334" i="17"/>
  <c r="F334" i="17"/>
  <c r="E334" i="17"/>
  <c r="G333" i="17"/>
  <c r="F333" i="17"/>
  <c r="E333" i="17"/>
  <c r="G332" i="17"/>
  <c r="F332" i="17"/>
  <c r="E332" i="17"/>
  <c r="G331" i="17"/>
  <c r="F331" i="17"/>
  <c r="E331" i="17"/>
  <c r="G330" i="17"/>
  <c r="F330" i="17"/>
  <c r="E330" i="17"/>
  <c r="G329" i="17"/>
  <c r="F329" i="17"/>
  <c r="E329" i="17"/>
  <c r="G328" i="17"/>
  <c r="F328" i="17"/>
  <c r="E328" i="17"/>
  <c r="G327" i="17"/>
  <c r="F327" i="17"/>
  <c r="E327" i="17"/>
  <c r="G326" i="17"/>
  <c r="F326" i="17"/>
  <c r="E326" i="17"/>
  <c r="G325" i="17"/>
  <c r="F325" i="17"/>
  <c r="E325" i="17"/>
  <c r="G324" i="17"/>
  <c r="F324" i="17"/>
  <c r="E324" i="17"/>
  <c r="G323" i="17"/>
  <c r="F323" i="17"/>
  <c r="E323" i="17"/>
  <c r="G322" i="17"/>
  <c r="F322" i="17"/>
  <c r="E322" i="17"/>
  <c r="G321" i="17"/>
  <c r="F321" i="17"/>
  <c r="E321" i="17"/>
  <c r="G320" i="17"/>
  <c r="F320" i="17"/>
  <c r="E320" i="17"/>
  <c r="G319" i="17"/>
  <c r="F319" i="17"/>
  <c r="E319" i="17"/>
  <c r="G318" i="17"/>
  <c r="F318" i="17"/>
  <c r="E318" i="17"/>
  <c r="G317" i="17"/>
  <c r="F317" i="17"/>
  <c r="E317" i="17"/>
  <c r="G316" i="17"/>
  <c r="F316" i="17"/>
  <c r="E316" i="17"/>
  <c r="G315" i="17"/>
  <c r="F315" i="17"/>
  <c r="E315" i="17"/>
  <c r="G314" i="17"/>
  <c r="F314" i="17"/>
  <c r="E314" i="17"/>
  <c r="G313" i="17"/>
  <c r="F313" i="17"/>
  <c r="E313" i="17"/>
  <c r="G312" i="17"/>
  <c r="F312" i="17"/>
  <c r="E312" i="17"/>
  <c r="G311" i="17"/>
  <c r="F311" i="17"/>
  <c r="E311" i="17"/>
  <c r="G310" i="17"/>
  <c r="F310" i="17"/>
  <c r="E310" i="17"/>
  <c r="G309" i="17"/>
  <c r="F309" i="17"/>
  <c r="E309" i="17"/>
  <c r="G308" i="17"/>
  <c r="F308" i="17"/>
  <c r="E308" i="17"/>
  <c r="G307" i="17"/>
  <c r="F307" i="17"/>
  <c r="E307" i="17"/>
  <c r="G306" i="17"/>
  <c r="F306" i="17"/>
  <c r="E306" i="17"/>
  <c r="G305" i="17"/>
  <c r="F305" i="17"/>
  <c r="E305" i="17"/>
  <c r="G304" i="17"/>
  <c r="F304" i="17"/>
  <c r="E304" i="17"/>
  <c r="G303" i="17"/>
  <c r="F303" i="17"/>
  <c r="E303" i="17"/>
  <c r="G302" i="17"/>
  <c r="F302" i="17"/>
  <c r="E302" i="17"/>
  <c r="G301" i="17"/>
  <c r="F301" i="17"/>
  <c r="E301" i="17"/>
  <c r="G300" i="17"/>
  <c r="F300" i="17"/>
  <c r="E300" i="17"/>
  <c r="G299" i="17"/>
  <c r="F299" i="17"/>
  <c r="E299" i="17"/>
  <c r="G298" i="17"/>
  <c r="F298" i="17"/>
  <c r="E298" i="17"/>
  <c r="G297" i="17"/>
  <c r="F297" i="17"/>
  <c r="E297" i="17"/>
  <c r="G296" i="17"/>
  <c r="F296" i="17"/>
  <c r="E296" i="17"/>
  <c r="G295" i="17"/>
  <c r="F295" i="17"/>
  <c r="E295" i="17"/>
  <c r="G294" i="17"/>
  <c r="F294" i="17"/>
  <c r="E294" i="17"/>
  <c r="G293" i="17"/>
  <c r="F293" i="17"/>
  <c r="E293" i="17"/>
  <c r="G292" i="17"/>
  <c r="F292" i="17"/>
  <c r="E292" i="17"/>
  <c r="G291" i="17"/>
  <c r="F291" i="17"/>
  <c r="E291" i="17"/>
  <c r="G290" i="17"/>
  <c r="F290" i="17"/>
  <c r="E290" i="17"/>
  <c r="G289" i="17"/>
  <c r="F289" i="17"/>
  <c r="E289" i="17"/>
  <c r="G288" i="17"/>
  <c r="F288" i="17"/>
  <c r="E288" i="17"/>
  <c r="G287" i="17"/>
  <c r="F287" i="17"/>
  <c r="E287" i="17"/>
  <c r="G286" i="17"/>
  <c r="F286" i="17"/>
  <c r="E286" i="17"/>
  <c r="G285" i="17"/>
  <c r="F285" i="17"/>
  <c r="E285" i="17"/>
  <c r="G284" i="17"/>
  <c r="F284" i="17"/>
  <c r="E284" i="17"/>
  <c r="G283" i="17"/>
  <c r="F283" i="17"/>
  <c r="E283" i="17"/>
  <c r="G282" i="17"/>
  <c r="F282" i="17"/>
  <c r="E282" i="17"/>
  <c r="G281" i="17"/>
  <c r="F281" i="17"/>
  <c r="E281" i="17"/>
  <c r="G280" i="17"/>
  <c r="F280" i="17"/>
  <c r="E280" i="17"/>
  <c r="G279" i="17"/>
  <c r="F279" i="17"/>
  <c r="E279" i="17"/>
  <c r="G278" i="17"/>
  <c r="F278" i="17"/>
  <c r="E278" i="17"/>
  <c r="G277" i="17"/>
  <c r="F277" i="17"/>
  <c r="E277" i="17"/>
  <c r="G276" i="17"/>
  <c r="F276" i="17"/>
  <c r="E276" i="17"/>
  <c r="G275" i="17"/>
  <c r="F275" i="17"/>
  <c r="E275" i="17"/>
  <c r="G274" i="17"/>
  <c r="F274" i="17"/>
  <c r="E274" i="17"/>
  <c r="G273" i="17"/>
  <c r="F273" i="17"/>
  <c r="E273" i="17"/>
  <c r="G272" i="17"/>
  <c r="F272" i="17"/>
  <c r="E272" i="17"/>
  <c r="G271" i="17"/>
  <c r="F271" i="17"/>
  <c r="E271" i="17"/>
  <c r="G270" i="17"/>
  <c r="F270" i="17"/>
  <c r="E270" i="17"/>
  <c r="G269" i="17"/>
  <c r="F269" i="17"/>
  <c r="E269" i="17"/>
  <c r="G268" i="17"/>
  <c r="F268" i="17"/>
  <c r="E268" i="17"/>
  <c r="G267" i="17"/>
  <c r="F267" i="17"/>
  <c r="E267" i="17"/>
  <c r="G266" i="17"/>
  <c r="F266" i="17"/>
  <c r="E266" i="17"/>
  <c r="G265" i="17"/>
  <c r="F265" i="17"/>
  <c r="E265" i="17"/>
  <c r="G264" i="17"/>
  <c r="F264" i="17"/>
  <c r="E264" i="17"/>
  <c r="G263" i="17"/>
  <c r="F263" i="17"/>
  <c r="E263" i="17"/>
  <c r="G262" i="17"/>
  <c r="F262" i="17"/>
  <c r="E262" i="17"/>
  <c r="G261" i="17"/>
  <c r="F261" i="17"/>
  <c r="E261" i="17"/>
  <c r="G260" i="17"/>
  <c r="F260" i="17"/>
  <c r="E260" i="17"/>
  <c r="G259" i="17"/>
  <c r="F259" i="17"/>
  <c r="E259" i="17"/>
  <c r="G258" i="17"/>
  <c r="F258" i="17"/>
  <c r="E258" i="17"/>
  <c r="G257" i="17"/>
  <c r="F257" i="17"/>
  <c r="E257" i="17"/>
  <c r="G256" i="17"/>
  <c r="F256" i="17"/>
  <c r="E256" i="17"/>
  <c r="G255" i="17"/>
  <c r="F255" i="17"/>
  <c r="E255" i="17"/>
  <c r="G254" i="17"/>
  <c r="F254" i="17"/>
  <c r="E254" i="17"/>
  <c r="G253" i="17"/>
  <c r="F253" i="17"/>
  <c r="E253" i="17"/>
  <c r="G252" i="17"/>
  <c r="F252" i="17"/>
  <c r="E252" i="17"/>
  <c r="G251" i="17"/>
  <c r="F251" i="17"/>
  <c r="E251" i="17"/>
  <c r="G250" i="17"/>
  <c r="F250" i="17"/>
  <c r="E250" i="17"/>
  <c r="G249" i="17"/>
  <c r="F249" i="17"/>
  <c r="E249" i="17"/>
  <c r="G248" i="17"/>
  <c r="F248" i="17"/>
  <c r="E248" i="17"/>
  <c r="G247" i="17"/>
  <c r="F247" i="17"/>
  <c r="E247" i="17"/>
  <c r="G246" i="17"/>
  <c r="F246" i="17"/>
  <c r="E246" i="17"/>
  <c r="G245" i="17"/>
  <c r="F245" i="17"/>
  <c r="E245" i="17"/>
  <c r="G244" i="17"/>
  <c r="F244" i="17"/>
  <c r="E244" i="17"/>
  <c r="G243" i="17"/>
  <c r="F243" i="17"/>
  <c r="E243" i="17"/>
  <c r="G242" i="17"/>
  <c r="F242" i="17"/>
  <c r="E242" i="17"/>
  <c r="G241" i="17"/>
  <c r="F241" i="17"/>
  <c r="E241" i="17"/>
  <c r="G240" i="17"/>
  <c r="F240" i="17"/>
  <c r="E240" i="17"/>
  <c r="G239" i="17"/>
  <c r="F239" i="17"/>
  <c r="E239" i="17"/>
  <c r="G238" i="17"/>
  <c r="F238" i="17"/>
  <c r="E238" i="17"/>
  <c r="G237" i="17"/>
  <c r="F237" i="17"/>
  <c r="E237" i="17"/>
  <c r="G236" i="17"/>
  <c r="F236" i="17"/>
  <c r="E236" i="17"/>
  <c r="G235" i="17"/>
  <c r="F235" i="17"/>
  <c r="E235" i="17"/>
  <c r="G234" i="17"/>
  <c r="F234" i="17"/>
  <c r="E234" i="17"/>
  <c r="G233" i="17"/>
  <c r="F233" i="17"/>
  <c r="E233" i="17"/>
  <c r="G232" i="17"/>
  <c r="F232" i="17"/>
  <c r="E232" i="17"/>
  <c r="G231" i="17"/>
  <c r="F231" i="17"/>
  <c r="E231" i="17"/>
  <c r="G230" i="17"/>
  <c r="F230" i="17"/>
  <c r="E230" i="17"/>
  <c r="G229" i="17"/>
  <c r="F229" i="17"/>
  <c r="E229" i="17"/>
  <c r="G228" i="17"/>
  <c r="F228" i="17"/>
  <c r="E228" i="17"/>
  <c r="G227" i="17"/>
  <c r="F227" i="17"/>
  <c r="E227" i="17"/>
  <c r="G226" i="17"/>
  <c r="F226" i="17"/>
  <c r="E226" i="17"/>
  <c r="G225" i="17"/>
  <c r="F225" i="17"/>
  <c r="E225" i="17"/>
  <c r="G224" i="17"/>
  <c r="F224" i="17"/>
  <c r="E224" i="17"/>
  <c r="G223" i="17"/>
  <c r="F223" i="17"/>
  <c r="E223" i="17"/>
  <c r="G222" i="17"/>
  <c r="F222" i="17"/>
  <c r="E222" i="17"/>
  <c r="G221" i="17"/>
  <c r="F221" i="17"/>
  <c r="E221" i="17"/>
  <c r="G220" i="17"/>
  <c r="F220" i="17"/>
  <c r="E220" i="17"/>
  <c r="G219" i="17"/>
  <c r="F219" i="17"/>
  <c r="E219" i="17"/>
  <c r="G218" i="17"/>
  <c r="F218" i="17"/>
  <c r="E218" i="17"/>
  <c r="G217" i="17"/>
  <c r="F217" i="17"/>
  <c r="E217" i="17"/>
  <c r="G216" i="17"/>
  <c r="F216" i="17"/>
  <c r="E216" i="17"/>
  <c r="G215" i="17"/>
  <c r="F215" i="17"/>
  <c r="E215" i="17"/>
  <c r="G214" i="17"/>
  <c r="F214" i="17"/>
  <c r="E214" i="17"/>
  <c r="G213" i="17"/>
  <c r="F213" i="17"/>
  <c r="E213" i="17"/>
  <c r="G212" i="17"/>
  <c r="F212" i="17"/>
  <c r="E212" i="17"/>
  <c r="G211" i="17"/>
  <c r="F211" i="17"/>
  <c r="E211" i="17"/>
  <c r="G210" i="17"/>
  <c r="F210" i="17"/>
  <c r="E210" i="17"/>
  <c r="G209" i="17"/>
  <c r="F209" i="17"/>
  <c r="E209" i="17"/>
  <c r="G208" i="17"/>
  <c r="F208" i="17"/>
  <c r="E208" i="17"/>
  <c r="G207" i="17"/>
  <c r="F207" i="17"/>
  <c r="E207" i="17"/>
  <c r="G206" i="17"/>
  <c r="F206" i="17"/>
  <c r="E206" i="17"/>
  <c r="G205" i="17"/>
  <c r="F205" i="17"/>
  <c r="E205" i="17"/>
  <c r="G204" i="17"/>
  <c r="F204" i="17"/>
  <c r="E204" i="17"/>
  <c r="G203" i="17"/>
  <c r="F203" i="17"/>
  <c r="E203" i="17"/>
  <c r="G202" i="17"/>
  <c r="F202" i="17"/>
  <c r="E202" i="17"/>
  <c r="G201" i="17"/>
  <c r="F201" i="17"/>
  <c r="E201" i="17"/>
  <c r="G200" i="17"/>
  <c r="F200" i="17"/>
  <c r="E200" i="17"/>
  <c r="G199" i="17"/>
  <c r="F199" i="17"/>
  <c r="E199" i="17"/>
  <c r="G198" i="17"/>
  <c r="F198" i="17"/>
  <c r="E198" i="17"/>
  <c r="G197" i="17"/>
  <c r="F197" i="17"/>
  <c r="E197" i="17"/>
  <c r="G196" i="17"/>
  <c r="F196" i="17"/>
  <c r="E196" i="17"/>
  <c r="G195" i="17"/>
  <c r="F195" i="17"/>
  <c r="E195" i="17"/>
  <c r="G194" i="17"/>
  <c r="F194" i="17"/>
  <c r="E194" i="17"/>
  <c r="G193" i="17"/>
  <c r="F193" i="17"/>
  <c r="E193" i="17"/>
  <c r="G192" i="17"/>
  <c r="F192" i="17"/>
  <c r="E192" i="17"/>
  <c r="G191" i="17"/>
  <c r="F191" i="17"/>
  <c r="E191" i="17"/>
  <c r="G190" i="17"/>
  <c r="F190" i="17"/>
  <c r="E190" i="17"/>
  <c r="G189" i="17"/>
  <c r="F189" i="17"/>
  <c r="E189" i="17"/>
  <c r="G188" i="17"/>
  <c r="F188" i="17"/>
  <c r="E188" i="17"/>
  <c r="G187" i="17"/>
  <c r="F187" i="17"/>
  <c r="E187" i="17"/>
  <c r="G186" i="17"/>
  <c r="F186" i="17"/>
  <c r="E186" i="17"/>
  <c r="G185" i="17"/>
  <c r="F185" i="17"/>
  <c r="E185" i="17"/>
  <c r="G184" i="17"/>
  <c r="F184" i="17"/>
  <c r="E184" i="17"/>
  <c r="G183" i="17"/>
  <c r="F183" i="17"/>
  <c r="E183" i="17"/>
  <c r="G182" i="17"/>
  <c r="F182" i="17"/>
  <c r="E182" i="17"/>
  <c r="G181" i="17"/>
  <c r="F181" i="17"/>
  <c r="E181" i="17"/>
  <c r="G180" i="17"/>
  <c r="F180" i="17"/>
  <c r="E180" i="17"/>
  <c r="G179" i="17"/>
  <c r="F179" i="17"/>
  <c r="E179" i="17"/>
  <c r="G178" i="17"/>
  <c r="F178" i="17"/>
  <c r="E178" i="17"/>
  <c r="G177" i="17"/>
  <c r="F177" i="17"/>
  <c r="E177" i="17"/>
  <c r="G176" i="17"/>
  <c r="F176" i="17"/>
  <c r="E176" i="17"/>
  <c r="G175" i="17"/>
  <c r="F175" i="17"/>
  <c r="E175" i="17"/>
  <c r="G174" i="17"/>
  <c r="F174" i="17"/>
  <c r="E174" i="17"/>
  <c r="G173" i="17"/>
  <c r="F173" i="17"/>
  <c r="E173" i="17"/>
  <c r="G172" i="17"/>
  <c r="F172" i="17"/>
  <c r="E172" i="17"/>
  <c r="G171" i="17"/>
  <c r="F171" i="17"/>
  <c r="E171" i="17"/>
  <c r="G170" i="17"/>
  <c r="F170" i="17"/>
  <c r="E170" i="17"/>
  <c r="G169" i="17"/>
  <c r="F169" i="17"/>
  <c r="E169" i="17"/>
  <c r="G168" i="17"/>
  <c r="F168" i="17"/>
  <c r="E168" i="17"/>
  <c r="G167" i="17"/>
  <c r="F167" i="17"/>
  <c r="E167" i="17"/>
  <c r="G166" i="17"/>
  <c r="F166" i="17"/>
  <c r="E166" i="17"/>
  <c r="G165" i="17"/>
  <c r="F165" i="17"/>
  <c r="E165" i="17"/>
  <c r="G164" i="17"/>
  <c r="F164" i="17"/>
  <c r="E164" i="17"/>
  <c r="G163" i="17"/>
  <c r="F163" i="17"/>
  <c r="E163" i="17"/>
  <c r="G162" i="17"/>
  <c r="F162" i="17"/>
  <c r="E162" i="17"/>
  <c r="G161" i="17"/>
  <c r="F161" i="17"/>
  <c r="E161" i="17"/>
  <c r="G160" i="17"/>
  <c r="F160" i="17"/>
  <c r="E160" i="17"/>
  <c r="G159" i="17"/>
  <c r="F159" i="17"/>
  <c r="E159" i="17"/>
  <c r="G158" i="17"/>
  <c r="F158" i="17"/>
  <c r="E158" i="17"/>
  <c r="G157" i="17"/>
  <c r="F157" i="17"/>
  <c r="E157" i="17"/>
  <c r="G156" i="17"/>
  <c r="F156" i="17"/>
  <c r="E156" i="17"/>
  <c r="G155" i="17"/>
  <c r="F155" i="17"/>
  <c r="E155" i="17"/>
  <c r="G154" i="17"/>
  <c r="F154" i="17"/>
  <c r="E154" i="17"/>
  <c r="G153" i="17"/>
  <c r="F153" i="17"/>
  <c r="E153" i="17"/>
  <c r="G152" i="17"/>
  <c r="F152" i="17"/>
  <c r="E152" i="17"/>
  <c r="G151" i="17"/>
  <c r="F151" i="17"/>
  <c r="E151" i="17"/>
  <c r="G150" i="17"/>
  <c r="F150" i="17"/>
  <c r="E150" i="17"/>
  <c r="G149" i="17"/>
  <c r="F149" i="17"/>
  <c r="E149" i="17"/>
  <c r="G148" i="17"/>
  <c r="F148" i="17"/>
  <c r="E148" i="17"/>
  <c r="G147" i="17"/>
  <c r="F147" i="17"/>
  <c r="E147" i="17"/>
  <c r="G146" i="17"/>
  <c r="F146" i="17"/>
  <c r="E146" i="17"/>
  <c r="G145" i="17"/>
  <c r="F145" i="17"/>
  <c r="E145" i="17"/>
  <c r="G144" i="17"/>
  <c r="F144" i="17"/>
  <c r="E144" i="17"/>
  <c r="G143" i="17"/>
  <c r="F143" i="17"/>
  <c r="E143" i="17"/>
  <c r="G142" i="17"/>
  <c r="F142" i="17"/>
  <c r="E142" i="17"/>
  <c r="G141" i="17"/>
  <c r="F141" i="17"/>
  <c r="E141" i="17"/>
  <c r="G140" i="17"/>
  <c r="F140" i="17"/>
  <c r="E140" i="17"/>
  <c r="G139" i="17"/>
  <c r="F139" i="17"/>
  <c r="E139" i="17"/>
  <c r="G138" i="17"/>
  <c r="F138" i="17"/>
  <c r="E138" i="17"/>
  <c r="G137" i="17"/>
  <c r="F137" i="17"/>
  <c r="E137" i="17"/>
  <c r="G136" i="17"/>
  <c r="F136" i="17"/>
  <c r="E136" i="17"/>
  <c r="G135" i="17"/>
  <c r="F135" i="17"/>
  <c r="E135" i="17"/>
  <c r="G134" i="17"/>
  <c r="F134" i="17"/>
  <c r="E134" i="17"/>
  <c r="G133" i="17"/>
  <c r="F133" i="17"/>
  <c r="E133" i="17"/>
  <c r="G132" i="17"/>
  <c r="F132" i="17"/>
  <c r="E132" i="17"/>
  <c r="G131" i="17"/>
  <c r="F131" i="17"/>
  <c r="E131" i="17"/>
  <c r="G130" i="17"/>
  <c r="F130" i="17"/>
  <c r="E130" i="17"/>
  <c r="G129" i="17"/>
  <c r="F129" i="17"/>
  <c r="E129" i="17"/>
  <c r="G128" i="17"/>
  <c r="F128" i="17"/>
  <c r="E128" i="17"/>
  <c r="G127" i="17"/>
  <c r="F127" i="17"/>
  <c r="E127" i="17"/>
  <c r="G126" i="17"/>
  <c r="F126" i="17"/>
  <c r="E126" i="17"/>
  <c r="G125" i="17"/>
  <c r="F125" i="17"/>
  <c r="E125" i="17"/>
  <c r="G124" i="17"/>
  <c r="F124" i="17"/>
  <c r="E124" i="17"/>
  <c r="G123" i="17"/>
  <c r="F123" i="17"/>
  <c r="E123" i="17"/>
  <c r="G122" i="17"/>
  <c r="F122" i="17"/>
  <c r="E122" i="17"/>
  <c r="G121" i="17"/>
  <c r="F121" i="17"/>
  <c r="E121" i="17"/>
  <c r="G120" i="17"/>
  <c r="F120" i="17"/>
  <c r="E120" i="17"/>
  <c r="G119" i="17"/>
  <c r="F119" i="17"/>
  <c r="E119" i="17"/>
  <c r="G118" i="17"/>
  <c r="F118" i="17"/>
  <c r="E118" i="17"/>
  <c r="G117" i="17"/>
  <c r="F117" i="17"/>
  <c r="E117" i="17"/>
  <c r="G116" i="17"/>
  <c r="F116" i="17"/>
  <c r="E116" i="17"/>
  <c r="G115" i="17"/>
  <c r="F115" i="17"/>
  <c r="E115" i="17"/>
  <c r="G114" i="17"/>
  <c r="F114" i="17"/>
  <c r="E114" i="17"/>
  <c r="G113" i="17"/>
  <c r="F113" i="17"/>
  <c r="E113" i="17"/>
  <c r="G112" i="17"/>
  <c r="F112" i="17"/>
  <c r="E112" i="17"/>
  <c r="G111" i="17"/>
  <c r="F111" i="17"/>
  <c r="E111" i="17"/>
  <c r="G110" i="17"/>
  <c r="F110" i="17"/>
  <c r="E110" i="17"/>
  <c r="G109" i="17"/>
  <c r="F109" i="17"/>
  <c r="E109" i="17"/>
  <c r="G108" i="17"/>
  <c r="F108" i="17"/>
  <c r="E108" i="17"/>
  <c r="G107" i="17"/>
  <c r="F107" i="17"/>
  <c r="E107" i="17"/>
  <c r="G106" i="17"/>
  <c r="F106" i="17"/>
  <c r="E106" i="17"/>
  <c r="G105" i="17"/>
  <c r="F105" i="17"/>
  <c r="E105" i="17"/>
  <c r="G104" i="17"/>
  <c r="F104" i="17"/>
  <c r="E104" i="17"/>
  <c r="G103" i="17"/>
  <c r="F103" i="17"/>
  <c r="E103" i="17"/>
  <c r="G102" i="17"/>
  <c r="F102" i="17"/>
  <c r="E102" i="17"/>
  <c r="G101" i="17"/>
  <c r="F101" i="17"/>
  <c r="E101" i="17"/>
  <c r="G100" i="17"/>
  <c r="F100" i="17"/>
  <c r="E100" i="17"/>
  <c r="G99" i="17"/>
  <c r="F99" i="17"/>
  <c r="E99" i="17"/>
  <c r="G98" i="17"/>
  <c r="F98" i="17"/>
  <c r="E98" i="17"/>
  <c r="G97" i="17"/>
  <c r="F97" i="17"/>
  <c r="E97" i="17"/>
  <c r="G96" i="17"/>
  <c r="F96" i="17"/>
  <c r="E96" i="17"/>
  <c r="G95" i="17"/>
  <c r="F95" i="17"/>
  <c r="E95" i="17"/>
  <c r="G94" i="17"/>
  <c r="F94" i="17"/>
  <c r="E94" i="17"/>
  <c r="G93" i="17"/>
  <c r="F93" i="17"/>
  <c r="E93" i="17"/>
  <c r="G92" i="17"/>
  <c r="F92" i="17"/>
  <c r="E92" i="17"/>
  <c r="G91" i="17"/>
  <c r="F91" i="17"/>
  <c r="E91" i="17"/>
  <c r="G90" i="17"/>
  <c r="F90" i="17"/>
  <c r="E90" i="17"/>
  <c r="G89" i="17"/>
  <c r="F89" i="17"/>
  <c r="E89" i="17"/>
  <c r="G88" i="17"/>
  <c r="F88" i="17"/>
  <c r="E88" i="17"/>
  <c r="G87" i="17"/>
  <c r="F87" i="17"/>
  <c r="E87" i="17"/>
  <c r="G86" i="17"/>
  <c r="F86" i="17"/>
  <c r="E86" i="17"/>
  <c r="G85" i="17"/>
  <c r="F85" i="17"/>
  <c r="E85" i="17"/>
  <c r="G84" i="17"/>
  <c r="F84" i="17"/>
  <c r="E84" i="17"/>
  <c r="G83" i="17"/>
  <c r="F83" i="17"/>
  <c r="E83" i="17"/>
  <c r="G82" i="17"/>
  <c r="F82" i="17"/>
  <c r="E82" i="17"/>
  <c r="G81" i="17"/>
  <c r="F81" i="17"/>
  <c r="E81" i="17"/>
  <c r="G80" i="17"/>
  <c r="F80" i="17"/>
  <c r="E80" i="17"/>
  <c r="G79" i="17"/>
  <c r="F79" i="17"/>
  <c r="E79" i="17"/>
  <c r="G78" i="17"/>
  <c r="F78" i="17"/>
  <c r="E78" i="17"/>
  <c r="G77" i="17"/>
  <c r="F77" i="17"/>
  <c r="E77" i="17"/>
  <c r="G76" i="17"/>
  <c r="F76" i="17"/>
  <c r="E76" i="17"/>
  <c r="G75" i="17"/>
  <c r="F75" i="17"/>
  <c r="E75" i="17"/>
  <c r="G74" i="17"/>
  <c r="F74" i="17"/>
  <c r="E74" i="17"/>
  <c r="G73" i="17"/>
  <c r="F73" i="17"/>
  <c r="E73" i="17"/>
  <c r="G72" i="17"/>
  <c r="F72" i="17"/>
  <c r="E72" i="17"/>
  <c r="G71" i="17"/>
  <c r="F71" i="17"/>
  <c r="E71" i="17"/>
  <c r="G70" i="17"/>
  <c r="F70" i="17"/>
  <c r="E70" i="17"/>
  <c r="G69" i="17"/>
  <c r="F69" i="17"/>
  <c r="E69" i="17"/>
  <c r="G68" i="17"/>
  <c r="F68" i="17"/>
  <c r="E68" i="17"/>
  <c r="R67" i="17"/>
  <c r="G67" i="17"/>
  <c r="F67" i="17"/>
  <c r="E67" i="17"/>
  <c r="R66" i="17"/>
  <c r="G66" i="17"/>
  <c r="F66" i="17"/>
  <c r="E66" i="17"/>
  <c r="R65" i="17"/>
  <c r="G65" i="17"/>
  <c r="F65" i="17"/>
  <c r="E65" i="17"/>
  <c r="R64" i="17"/>
  <c r="G64" i="17"/>
  <c r="F64" i="17"/>
  <c r="E64" i="17"/>
  <c r="R63" i="17"/>
  <c r="G63" i="17"/>
  <c r="F63" i="17"/>
  <c r="E63" i="17"/>
  <c r="R62" i="17"/>
  <c r="G62" i="17"/>
  <c r="F62" i="17"/>
  <c r="E62" i="17"/>
  <c r="R61" i="17"/>
  <c r="G61" i="17"/>
  <c r="F61" i="17"/>
  <c r="E61" i="17"/>
  <c r="R60" i="17"/>
  <c r="G60" i="17"/>
  <c r="F60" i="17"/>
  <c r="E60" i="17"/>
  <c r="R59" i="17"/>
  <c r="G59" i="17"/>
  <c r="F59" i="17"/>
  <c r="E59" i="17"/>
  <c r="R58" i="17"/>
  <c r="G58" i="17"/>
  <c r="F58" i="17"/>
  <c r="E58" i="17"/>
  <c r="R57" i="17"/>
  <c r="G57" i="17"/>
  <c r="F57" i="17"/>
  <c r="E57" i="17"/>
  <c r="R56" i="17"/>
  <c r="G56" i="17"/>
  <c r="F56" i="17"/>
  <c r="E56" i="17"/>
  <c r="R55" i="17"/>
  <c r="G55" i="17"/>
  <c r="F55" i="17"/>
  <c r="E55" i="17"/>
  <c r="R54" i="17"/>
  <c r="G54" i="17"/>
  <c r="F54" i="17"/>
  <c r="E54" i="17"/>
  <c r="R53" i="17"/>
  <c r="G53" i="17"/>
  <c r="F53" i="17"/>
  <c r="E53" i="17"/>
  <c r="R52" i="17"/>
  <c r="G52" i="17"/>
  <c r="F52" i="17"/>
  <c r="E52" i="17"/>
  <c r="R51" i="17"/>
  <c r="G51" i="17"/>
  <c r="F51" i="17"/>
  <c r="E51" i="17"/>
  <c r="R50" i="17"/>
  <c r="G50" i="17"/>
  <c r="F50" i="17"/>
  <c r="E50" i="17"/>
  <c r="R49" i="17"/>
  <c r="G49" i="17"/>
  <c r="F49" i="17"/>
  <c r="E49" i="17"/>
  <c r="R48" i="17"/>
  <c r="G48" i="17"/>
  <c r="F48" i="17"/>
  <c r="E48" i="17"/>
  <c r="R47" i="17"/>
  <c r="G47" i="17"/>
  <c r="F47" i="17"/>
  <c r="E47" i="17"/>
  <c r="R46" i="17"/>
  <c r="G46" i="17"/>
  <c r="F46" i="17"/>
  <c r="E46" i="17"/>
  <c r="R45" i="17"/>
  <c r="G45" i="17"/>
  <c r="F45" i="17"/>
  <c r="E45" i="17"/>
  <c r="R44" i="17"/>
  <c r="G44" i="17"/>
  <c r="F44" i="17"/>
  <c r="E44" i="17"/>
  <c r="R43" i="17"/>
  <c r="G43" i="17"/>
  <c r="F43" i="17"/>
  <c r="E43" i="17"/>
  <c r="R42" i="17"/>
  <c r="G42" i="17"/>
  <c r="F42" i="17"/>
  <c r="E42" i="17"/>
  <c r="R41" i="17"/>
  <c r="G41" i="17"/>
  <c r="F41" i="17"/>
  <c r="E41" i="17"/>
  <c r="R40" i="17"/>
  <c r="G40" i="17"/>
  <c r="F40" i="17"/>
  <c r="E40" i="17"/>
  <c r="R39" i="17"/>
  <c r="G39" i="17"/>
  <c r="F39" i="17"/>
  <c r="E39" i="17"/>
  <c r="R38" i="17"/>
  <c r="G38" i="17"/>
  <c r="F38" i="17"/>
  <c r="E38" i="17"/>
  <c r="R37" i="17"/>
  <c r="G37" i="17"/>
  <c r="F37" i="17"/>
  <c r="E37" i="17"/>
  <c r="R36" i="17"/>
  <c r="G36" i="17"/>
  <c r="F36" i="17"/>
  <c r="E36" i="17"/>
  <c r="R35" i="17"/>
  <c r="G35" i="17"/>
  <c r="F35" i="17"/>
  <c r="E35" i="17"/>
  <c r="R34" i="17"/>
  <c r="G34" i="17"/>
  <c r="F34" i="17"/>
  <c r="E34" i="17"/>
  <c r="R33" i="17"/>
  <c r="G33" i="17"/>
  <c r="F33" i="17"/>
  <c r="E33" i="17"/>
  <c r="R32" i="17"/>
  <c r="G32" i="17"/>
  <c r="F32" i="17"/>
  <c r="E32" i="17"/>
  <c r="R31" i="17"/>
  <c r="G31" i="17"/>
  <c r="F31" i="17"/>
  <c r="E31" i="17"/>
  <c r="R30" i="17"/>
  <c r="G30" i="17"/>
  <c r="F30" i="17"/>
  <c r="E30" i="17"/>
  <c r="R29" i="17"/>
  <c r="G29" i="17"/>
  <c r="F29" i="17"/>
  <c r="E29" i="17"/>
  <c r="R28" i="17"/>
  <c r="G28" i="17"/>
  <c r="F28" i="17"/>
  <c r="E28" i="17"/>
  <c r="R27" i="17"/>
  <c r="G27" i="17"/>
  <c r="F27" i="17"/>
  <c r="E27" i="17"/>
  <c r="R26" i="17"/>
  <c r="G26" i="17"/>
  <c r="F26" i="17"/>
  <c r="E26" i="17"/>
  <c r="R25" i="17"/>
  <c r="G25" i="17"/>
  <c r="F25" i="17"/>
  <c r="E25" i="17"/>
  <c r="R24" i="17"/>
  <c r="G24" i="17"/>
  <c r="F24" i="17"/>
  <c r="E24" i="17"/>
  <c r="R23" i="17"/>
  <c r="G23" i="17"/>
  <c r="F23" i="17"/>
  <c r="E23" i="17"/>
  <c r="R22" i="17"/>
  <c r="G22" i="17"/>
  <c r="F22" i="17"/>
  <c r="E22" i="17"/>
  <c r="R21" i="17"/>
  <c r="G21" i="17"/>
  <c r="F21" i="17"/>
  <c r="E21" i="17"/>
  <c r="R20" i="17"/>
  <c r="G20" i="17"/>
  <c r="F20" i="17"/>
  <c r="E20" i="17"/>
  <c r="R19" i="17"/>
  <c r="G19" i="17"/>
  <c r="F19" i="17"/>
  <c r="E19" i="17"/>
  <c r="R18" i="17"/>
  <c r="G18" i="17"/>
  <c r="F18" i="17"/>
  <c r="E18" i="17"/>
  <c r="R17" i="17"/>
  <c r="G17" i="17"/>
  <c r="F17" i="17"/>
  <c r="E17" i="17"/>
  <c r="R16" i="17"/>
  <c r="G16" i="17"/>
  <c r="F16" i="17"/>
  <c r="E16" i="17"/>
  <c r="R15" i="17"/>
  <c r="G15" i="17"/>
  <c r="F15" i="17"/>
  <c r="E15" i="17"/>
  <c r="R14" i="17"/>
  <c r="G14" i="17"/>
  <c r="F14" i="17"/>
  <c r="E14" i="17"/>
  <c r="R13" i="17"/>
  <c r="G13" i="17"/>
  <c r="F13" i="17"/>
  <c r="E13" i="17"/>
  <c r="R12" i="17"/>
  <c r="G12" i="17"/>
  <c r="F12" i="17"/>
  <c r="E12" i="17"/>
  <c r="R11" i="17"/>
  <c r="G11" i="17"/>
  <c r="F11" i="17"/>
  <c r="E11" i="17"/>
  <c r="R10" i="17"/>
  <c r="G10" i="17"/>
  <c r="F10" i="17"/>
  <c r="E10" i="17"/>
  <c r="R9" i="17"/>
  <c r="G9" i="17"/>
  <c r="F9" i="17"/>
  <c r="E9" i="17"/>
  <c r="R8" i="17"/>
  <c r="G8" i="17"/>
  <c r="F8" i="17"/>
  <c r="E8" i="17"/>
  <c r="R7" i="17"/>
  <c r="G7" i="17"/>
  <c r="F7" i="17"/>
  <c r="E7" i="17"/>
  <c r="R6" i="17"/>
  <c r="G6" i="17"/>
  <c r="F6" i="17"/>
  <c r="E6" i="17"/>
  <c r="R5" i="17"/>
  <c r="G5" i="17"/>
  <c r="F5" i="17"/>
  <c r="E5" i="17"/>
  <c r="R4" i="17"/>
  <c r="G4" i="17"/>
  <c r="F4" i="17"/>
  <c r="E4" i="17"/>
  <c r="R3" i="17"/>
  <c r="G3" i="17"/>
  <c r="F3" i="17"/>
  <c r="E3" i="17"/>
  <c r="R2" i="17"/>
  <c r="G2" i="17"/>
  <c r="F2" i="17"/>
  <c r="E2" i="17"/>
  <c r="G1" i="17"/>
  <c r="F1" i="17"/>
  <c r="E1" i="17"/>
  <c r="K30" i="13"/>
  <c r="D30" i="13"/>
  <c r="B30" i="13"/>
  <c r="K29" i="13"/>
  <c r="D29" i="13"/>
  <c r="B29" i="13"/>
  <c r="K28" i="13"/>
  <c r="D28" i="13"/>
  <c r="B28" i="13"/>
  <c r="K27" i="13"/>
  <c r="D27" i="13"/>
  <c r="B27" i="13"/>
  <c r="K26" i="13"/>
  <c r="D26" i="13"/>
  <c r="B26" i="13"/>
  <c r="K25" i="13"/>
  <c r="D25" i="13"/>
  <c r="B25" i="13"/>
  <c r="K24" i="13"/>
  <c r="D24" i="13"/>
  <c r="B24" i="13"/>
  <c r="K23" i="13"/>
  <c r="D23" i="13"/>
  <c r="B23" i="13"/>
  <c r="K22" i="13"/>
  <c r="D22" i="13"/>
  <c r="B22" i="13"/>
  <c r="K21" i="13"/>
  <c r="D21" i="13"/>
  <c r="B21" i="13"/>
  <c r="K20" i="13"/>
  <c r="D20" i="13"/>
  <c r="B20" i="13"/>
  <c r="K19" i="13"/>
  <c r="D19" i="13"/>
  <c r="B19" i="13"/>
  <c r="K18" i="13"/>
  <c r="D18" i="13"/>
  <c r="B18" i="13"/>
  <c r="K17" i="13"/>
  <c r="D17" i="13"/>
  <c r="B17" i="13"/>
  <c r="K16" i="13"/>
  <c r="D16" i="13"/>
  <c r="B16" i="13"/>
  <c r="K15" i="13"/>
  <c r="D15" i="13"/>
  <c r="B15" i="13"/>
  <c r="K14" i="13"/>
  <c r="D14" i="13"/>
  <c r="B14" i="13"/>
  <c r="K13" i="13"/>
  <c r="D13" i="13"/>
  <c r="B13" i="13"/>
  <c r="K12" i="13"/>
  <c r="D12" i="13"/>
  <c r="B12" i="13"/>
  <c r="K11" i="13"/>
  <c r="D11" i="13"/>
  <c r="B11" i="13"/>
  <c r="K10" i="13"/>
  <c r="D10" i="13"/>
  <c r="B10" i="13"/>
  <c r="K9" i="13"/>
  <c r="D9" i="13"/>
  <c r="B9" i="13"/>
  <c r="K8" i="13"/>
  <c r="D8" i="13"/>
  <c r="B8" i="13"/>
  <c r="K7" i="13"/>
  <c r="D7" i="13"/>
  <c r="B7" i="13"/>
  <c r="K6" i="13"/>
  <c r="D6" i="13"/>
  <c r="B6" i="13"/>
  <c r="K5" i="13"/>
  <c r="D5" i="13"/>
  <c r="B5" i="13"/>
  <c r="K4" i="13"/>
  <c r="D4" i="13"/>
  <c r="B4" i="13"/>
  <c r="K30" i="12"/>
  <c r="D30" i="12"/>
  <c r="B30" i="12"/>
  <c r="K29" i="12"/>
  <c r="D29" i="12"/>
  <c r="B29" i="12"/>
  <c r="K28" i="12"/>
  <c r="D28" i="12"/>
  <c r="B28" i="12"/>
  <c r="K27" i="12"/>
  <c r="D27" i="12"/>
  <c r="B27" i="12"/>
  <c r="K26" i="12"/>
  <c r="D26" i="12"/>
  <c r="B26" i="12"/>
  <c r="K25" i="12"/>
  <c r="D25" i="12"/>
  <c r="B25" i="12"/>
  <c r="K24" i="12"/>
  <c r="D24" i="12"/>
  <c r="B24" i="12"/>
  <c r="K23" i="12"/>
  <c r="D23" i="12"/>
  <c r="B23" i="12"/>
  <c r="K22" i="12"/>
  <c r="D22" i="12"/>
  <c r="B22" i="12"/>
  <c r="K21" i="12"/>
  <c r="D21" i="12"/>
  <c r="B21" i="12"/>
  <c r="K20" i="12"/>
  <c r="D20" i="12"/>
  <c r="B20" i="12"/>
  <c r="K19" i="12"/>
  <c r="D19" i="12"/>
  <c r="B19" i="12"/>
  <c r="K18" i="12"/>
  <c r="D18" i="12"/>
  <c r="B18" i="12"/>
  <c r="K17" i="12"/>
  <c r="D17" i="12"/>
  <c r="B17" i="12"/>
  <c r="K16" i="12"/>
  <c r="D16" i="12"/>
  <c r="B16" i="12"/>
  <c r="K15" i="12"/>
  <c r="D15" i="12"/>
  <c r="B15" i="12"/>
  <c r="K14" i="12"/>
  <c r="D14" i="12"/>
  <c r="B14" i="12"/>
  <c r="K13" i="12"/>
  <c r="D13" i="12"/>
  <c r="B13" i="12"/>
  <c r="K12" i="12"/>
  <c r="D12" i="12"/>
  <c r="B12" i="12"/>
  <c r="K11" i="12"/>
  <c r="D11" i="12"/>
  <c r="B11" i="12"/>
  <c r="K10" i="12"/>
  <c r="D10" i="12"/>
  <c r="B10" i="12"/>
  <c r="K9" i="12"/>
  <c r="D9" i="12"/>
  <c r="B9" i="12"/>
  <c r="K8" i="12"/>
  <c r="D8" i="12"/>
  <c r="B8" i="12"/>
  <c r="K7" i="12"/>
  <c r="D7" i="12"/>
  <c r="B7" i="12"/>
  <c r="K6" i="12"/>
  <c r="D6" i="12"/>
  <c r="B6" i="12"/>
  <c r="K5" i="12"/>
  <c r="D5" i="12"/>
  <c r="B5" i="12"/>
  <c r="K4" i="12"/>
  <c r="D4" i="12"/>
  <c r="B4" i="12"/>
  <c r="K30" i="11"/>
  <c r="D30" i="11"/>
  <c r="B30" i="11"/>
  <c r="K29" i="11"/>
  <c r="D29" i="11"/>
  <c r="B29" i="11"/>
  <c r="K28" i="11"/>
  <c r="D28" i="11"/>
  <c r="B28" i="11"/>
  <c r="K27" i="11"/>
  <c r="D27" i="11"/>
  <c r="B27" i="11"/>
  <c r="K26" i="11"/>
  <c r="D26" i="11"/>
  <c r="B26" i="11"/>
  <c r="K25" i="11"/>
  <c r="D25" i="11"/>
  <c r="B25" i="11"/>
  <c r="K24" i="11"/>
  <c r="D24" i="11"/>
  <c r="B24" i="11"/>
  <c r="K23" i="11"/>
  <c r="D23" i="11"/>
  <c r="B23" i="11"/>
  <c r="K22" i="11"/>
  <c r="D22" i="11"/>
  <c r="B22" i="11"/>
  <c r="K21" i="11"/>
  <c r="D21" i="11"/>
  <c r="B21" i="11"/>
  <c r="K20" i="11"/>
  <c r="D20" i="11"/>
  <c r="B20" i="11"/>
  <c r="K19" i="11"/>
  <c r="D19" i="11"/>
  <c r="B19" i="11"/>
  <c r="K18" i="11"/>
  <c r="D18" i="11"/>
  <c r="B18" i="11"/>
  <c r="K17" i="11"/>
  <c r="D17" i="11"/>
  <c r="B17" i="11"/>
  <c r="K16" i="11"/>
  <c r="D16" i="11"/>
  <c r="B16" i="11"/>
  <c r="K15" i="11"/>
  <c r="D15" i="11"/>
  <c r="B15" i="11"/>
  <c r="K14" i="11"/>
  <c r="D14" i="11"/>
  <c r="B14" i="11"/>
  <c r="K13" i="11"/>
  <c r="D13" i="11"/>
  <c r="B13" i="11"/>
  <c r="K12" i="11"/>
  <c r="D12" i="11"/>
  <c r="B12" i="11"/>
  <c r="K11" i="11"/>
  <c r="D11" i="11"/>
  <c r="B11" i="11"/>
  <c r="K10" i="11"/>
  <c r="D10" i="11"/>
  <c r="B10" i="11"/>
  <c r="K9" i="11"/>
  <c r="D9" i="11"/>
  <c r="B9" i="11"/>
  <c r="K8" i="11"/>
  <c r="D8" i="11"/>
  <c r="B8" i="11"/>
  <c r="K7" i="11"/>
  <c r="D7" i="11"/>
  <c r="B7" i="11"/>
  <c r="K6" i="11"/>
  <c r="D6" i="11"/>
  <c r="B6" i="11"/>
  <c r="K5" i="11"/>
  <c r="D5" i="11"/>
  <c r="B5" i="11"/>
  <c r="K4" i="11"/>
  <c r="D4" i="11"/>
  <c r="B4" i="11"/>
  <c r="K30" i="10"/>
  <c r="D30" i="10"/>
  <c r="B30" i="10"/>
  <c r="K29" i="10"/>
  <c r="D29" i="10"/>
  <c r="B29" i="10"/>
  <c r="K28" i="10"/>
  <c r="D28" i="10"/>
  <c r="B28" i="10"/>
  <c r="K27" i="10"/>
  <c r="D27" i="10"/>
  <c r="B27" i="10"/>
  <c r="K26" i="10"/>
  <c r="D26" i="10"/>
  <c r="B26" i="10"/>
  <c r="K25" i="10"/>
  <c r="D25" i="10"/>
  <c r="B25" i="10"/>
  <c r="K24" i="10"/>
  <c r="D24" i="10"/>
  <c r="B24" i="10"/>
  <c r="K23" i="10"/>
  <c r="D23" i="10"/>
  <c r="B23" i="10"/>
  <c r="K22" i="10"/>
  <c r="D22" i="10"/>
  <c r="B22" i="10"/>
  <c r="K21" i="10"/>
  <c r="D21" i="10"/>
  <c r="B21" i="10"/>
  <c r="K20" i="10"/>
  <c r="D20" i="10"/>
  <c r="B20" i="10"/>
  <c r="K19" i="10"/>
  <c r="D19" i="10"/>
  <c r="B19" i="10"/>
  <c r="K18" i="10"/>
  <c r="D18" i="10"/>
  <c r="B18" i="10"/>
  <c r="K17" i="10"/>
  <c r="D17" i="10"/>
  <c r="B17" i="10"/>
  <c r="K16" i="10"/>
  <c r="D16" i="10"/>
  <c r="B16" i="10"/>
  <c r="K15" i="10"/>
  <c r="D15" i="10"/>
  <c r="B15" i="10"/>
  <c r="K14" i="10"/>
  <c r="D14" i="10"/>
  <c r="B14" i="10"/>
  <c r="K13" i="10"/>
  <c r="D13" i="10"/>
  <c r="B13" i="10"/>
  <c r="K12" i="10"/>
  <c r="D12" i="10"/>
  <c r="B12" i="10"/>
  <c r="K11" i="10"/>
  <c r="D11" i="10"/>
  <c r="B11" i="10"/>
  <c r="K10" i="10"/>
  <c r="D10" i="10"/>
  <c r="B10" i="10"/>
  <c r="K9" i="10"/>
  <c r="D9" i="10"/>
  <c r="B9" i="10"/>
  <c r="K8" i="10"/>
  <c r="D8" i="10"/>
  <c r="B8" i="10"/>
  <c r="K7" i="10"/>
  <c r="D7" i="10"/>
  <c r="B7" i="10"/>
  <c r="K6" i="10"/>
  <c r="D6" i="10"/>
  <c r="B6" i="10"/>
  <c r="K5" i="10"/>
  <c r="D5" i="10"/>
  <c r="B5" i="10"/>
  <c r="K4" i="10"/>
  <c r="D4" i="10"/>
  <c r="B4" i="10"/>
  <c r="K30" i="9"/>
  <c r="D30" i="9"/>
  <c r="B30" i="9"/>
  <c r="K29" i="9"/>
  <c r="D29" i="9"/>
  <c r="B29" i="9"/>
  <c r="K28" i="9"/>
  <c r="D28" i="9"/>
  <c r="B28" i="9"/>
  <c r="K27" i="9"/>
  <c r="D27" i="9"/>
  <c r="B27" i="9"/>
  <c r="K26" i="9"/>
  <c r="D26" i="9"/>
  <c r="B26" i="9"/>
  <c r="K25" i="9"/>
  <c r="D25" i="9"/>
  <c r="B25" i="9"/>
  <c r="K24" i="9"/>
  <c r="D24" i="9"/>
  <c r="B24" i="9"/>
  <c r="K23" i="9"/>
  <c r="D23" i="9"/>
  <c r="B23" i="9"/>
  <c r="K22" i="9"/>
  <c r="D22" i="9"/>
  <c r="B22" i="9"/>
  <c r="K21" i="9"/>
  <c r="D21" i="9"/>
  <c r="B21" i="9"/>
  <c r="K20" i="9"/>
  <c r="D20" i="9"/>
  <c r="B20" i="9"/>
  <c r="K19" i="9"/>
  <c r="D19" i="9"/>
  <c r="B19" i="9"/>
  <c r="K18" i="9"/>
  <c r="D18" i="9"/>
  <c r="B18" i="9"/>
  <c r="K17" i="9"/>
  <c r="D17" i="9"/>
  <c r="B17" i="9"/>
  <c r="K16" i="9"/>
  <c r="D16" i="9"/>
  <c r="B16" i="9"/>
  <c r="K15" i="9"/>
  <c r="D15" i="9"/>
  <c r="B15" i="9"/>
  <c r="K14" i="9"/>
  <c r="D14" i="9"/>
  <c r="B14" i="9"/>
  <c r="K13" i="9"/>
  <c r="D13" i="9"/>
  <c r="B13" i="9"/>
  <c r="K12" i="9"/>
  <c r="D12" i="9"/>
  <c r="B12" i="9"/>
  <c r="K11" i="9"/>
  <c r="D11" i="9"/>
  <c r="B11" i="9"/>
  <c r="K10" i="9"/>
  <c r="D10" i="9"/>
  <c r="B10" i="9"/>
  <c r="K9" i="9"/>
  <c r="D9" i="9"/>
  <c r="B9" i="9"/>
  <c r="K8" i="9"/>
  <c r="D8" i="9"/>
  <c r="B8" i="9"/>
  <c r="K7" i="9"/>
  <c r="D7" i="9"/>
  <c r="B7" i="9"/>
  <c r="K6" i="9"/>
  <c r="D6" i="9"/>
  <c r="B6" i="9"/>
  <c r="K5" i="9"/>
  <c r="D5" i="9"/>
  <c r="B5" i="9"/>
  <c r="K4" i="9"/>
  <c r="D4" i="9"/>
  <c r="B4" i="9"/>
  <c r="K30" i="8"/>
  <c r="D30" i="8"/>
  <c r="B30" i="8"/>
  <c r="K29" i="8"/>
  <c r="D29" i="8"/>
  <c r="B29" i="8"/>
  <c r="K28" i="8"/>
  <c r="D28" i="8"/>
  <c r="B28" i="8"/>
  <c r="K27" i="8"/>
  <c r="D27" i="8"/>
  <c r="B27" i="8"/>
  <c r="K26" i="8"/>
  <c r="D26" i="8"/>
  <c r="B26" i="8"/>
  <c r="K25" i="8"/>
  <c r="D25" i="8"/>
  <c r="B25" i="8"/>
  <c r="K24" i="8"/>
  <c r="D24" i="8"/>
  <c r="B24" i="8"/>
  <c r="K23" i="8"/>
  <c r="D23" i="8"/>
  <c r="B23" i="8"/>
  <c r="K22" i="8"/>
  <c r="D22" i="8"/>
  <c r="B22" i="8"/>
  <c r="K21" i="8"/>
  <c r="D21" i="8"/>
  <c r="B21" i="8"/>
  <c r="K20" i="8"/>
  <c r="D20" i="8"/>
  <c r="B20" i="8"/>
  <c r="K19" i="8"/>
  <c r="D19" i="8"/>
  <c r="B19" i="8"/>
  <c r="K18" i="8"/>
  <c r="D18" i="8"/>
  <c r="B18" i="8"/>
  <c r="K17" i="8"/>
  <c r="D17" i="8"/>
  <c r="B17" i="8"/>
  <c r="K16" i="8"/>
  <c r="D16" i="8"/>
  <c r="B16" i="8"/>
  <c r="K15" i="8"/>
  <c r="D15" i="8"/>
  <c r="B15" i="8"/>
  <c r="K14" i="8"/>
  <c r="D14" i="8"/>
  <c r="B14" i="8"/>
  <c r="K13" i="8"/>
  <c r="D13" i="8"/>
  <c r="B13" i="8"/>
  <c r="K12" i="8"/>
  <c r="D12" i="8"/>
  <c r="B12" i="8"/>
  <c r="K11" i="8"/>
  <c r="D11" i="8"/>
  <c r="B11" i="8"/>
  <c r="K10" i="8"/>
  <c r="D10" i="8"/>
  <c r="B10" i="8"/>
  <c r="K9" i="8"/>
  <c r="D9" i="8"/>
  <c r="B9" i="8"/>
  <c r="K8" i="8"/>
  <c r="D8" i="8"/>
  <c r="B8" i="8"/>
  <c r="K7" i="8"/>
  <c r="D7" i="8"/>
  <c r="B7" i="8"/>
  <c r="K6" i="8"/>
  <c r="D6" i="8"/>
  <c r="B6" i="8"/>
  <c r="K5" i="8"/>
  <c r="D5" i="8"/>
  <c r="B5" i="8"/>
  <c r="K4" i="8"/>
  <c r="D4" i="8"/>
  <c r="B4" i="8"/>
  <c r="K30" i="7"/>
  <c r="D30" i="7"/>
  <c r="B30" i="7"/>
  <c r="K29" i="7"/>
  <c r="D29" i="7"/>
  <c r="B29" i="7"/>
  <c r="K28" i="7"/>
  <c r="D28" i="7"/>
  <c r="B28" i="7"/>
  <c r="K27" i="7"/>
  <c r="D27" i="7"/>
  <c r="B27" i="7"/>
  <c r="K26" i="7"/>
  <c r="D26" i="7"/>
  <c r="B26" i="7"/>
  <c r="K25" i="7"/>
  <c r="D25" i="7"/>
  <c r="B25" i="7"/>
  <c r="K24" i="7"/>
  <c r="D24" i="7"/>
  <c r="B24" i="7"/>
  <c r="K23" i="7"/>
  <c r="D23" i="7"/>
  <c r="B23" i="7"/>
  <c r="K22" i="7"/>
  <c r="D22" i="7"/>
  <c r="B22" i="7"/>
  <c r="K21" i="7"/>
  <c r="D21" i="7"/>
  <c r="B21" i="7"/>
  <c r="K20" i="7"/>
  <c r="D20" i="7"/>
  <c r="B20" i="7"/>
  <c r="K19" i="7"/>
  <c r="D19" i="7"/>
  <c r="B19" i="7"/>
  <c r="K18" i="7"/>
  <c r="D18" i="7"/>
  <c r="B18" i="7"/>
  <c r="K17" i="7"/>
  <c r="D17" i="7"/>
  <c r="B17" i="7"/>
  <c r="K16" i="7"/>
  <c r="D16" i="7"/>
  <c r="B16" i="7"/>
  <c r="K15" i="7"/>
  <c r="D15" i="7"/>
  <c r="B15" i="7"/>
  <c r="K14" i="7"/>
  <c r="D14" i="7"/>
  <c r="B14" i="7"/>
  <c r="K13" i="7"/>
  <c r="D13" i="7"/>
  <c r="B13" i="7"/>
  <c r="K12" i="7"/>
  <c r="D12" i="7"/>
  <c r="B12" i="7"/>
  <c r="K11" i="7"/>
  <c r="D11" i="7"/>
  <c r="B11" i="7"/>
  <c r="K10" i="7"/>
  <c r="D10" i="7"/>
  <c r="B10" i="7"/>
  <c r="K9" i="7"/>
  <c r="D9" i="7"/>
  <c r="B9" i="7"/>
  <c r="K8" i="7"/>
  <c r="D8" i="7"/>
  <c r="B8" i="7"/>
  <c r="K7" i="7"/>
  <c r="D7" i="7"/>
  <c r="B7" i="7"/>
  <c r="K6" i="7"/>
  <c r="D6" i="7"/>
  <c r="B6" i="7"/>
  <c r="K5" i="7"/>
  <c r="D5" i="7"/>
  <c r="B5" i="7"/>
  <c r="K4" i="7"/>
  <c r="D4" i="7"/>
  <c r="B4" i="7"/>
  <c r="K30" i="6"/>
  <c r="D30" i="6"/>
  <c r="B30" i="6"/>
  <c r="K29" i="6"/>
  <c r="D29" i="6"/>
  <c r="B29" i="6"/>
  <c r="K28" i="6"/>
  <c r="D28" i="6"/>
  <c r="B28" i="6"/>
  <c r="K27" i="6"/>
  <c r="D27" i="6"/>
  <c r="B27" i="6"/>
  <c r="K26" i="6"/>
  <c r="D26" i="6"/>
  <c r="B26" i="6"/>
  <c r="K25" i="6"/>
  <c r="D25" i="6"/>
  <c r="B25" i="6"/>
  <c r="K24" i="6"/>
  <c r="D24" i="6"/>
  <c r="B24" i="6"/>
  <c r="K23" i="6"/>
  <c r="D23" i="6"/>
  <c r="B23" i="6"/>
  <c r="K22" i="6"/>
  <c r="D22" i="6"/>
  <c r="B22" i="6"/>
  <c r="K21" i="6"/>
  <c r="D21" i="6"/>
  <c r="B21" i="6"/>
  <c r="K20" i="6"/>
  <c r="D20" i="6"/>
  <c r="B20" i="6"/>
  <c r="K19" i="6"/>
  <c r="D19" i="6"/>
  <c r="B19" i="6"/>
  <c r="K18" i="6"/>
  <c r="D18" i="6"/>
  <c r="B18" i="6"/>
  <c r="K17" i="6"/>
  <c r="D17" i="6"/>
  <c r="B17" i="6"/>
  <c r="K16" i="6"/>
  <c r="D16" i="6"/>
  <c r="B16" i="6"/>
  <c r="K15" i="6"/>
  <c r="D15" i="6"/>
  <c r="B15" i="6"/>
  <c r="K14" i="6"/>
  <c r="D14" i="6"/>
  <c r="B14" i="6"/>
  <c r="K13" i="6"/>
  <c r="D13" i="6"/>
  <c r="B13" i="6"/>
  <c r="K12" i="6"/>
  <c r="D12" i="6"/>
  <c r="B12" i="6"/>
  <c r="K11" i="6"/>
  <c r="D11" i="6"/>
  <c r="B11" i="6"/>
  <c r="K10" i="6"/>
  <c r="D10" i="6"/>
  <c r="B10" i="6"/>
  <c r="K9" i="6"/>
  <c r="D9" i="6"/>
  <c r="B9" i="6"/>
  <c r="K8" i="6"/>
  <c r="D8" i="6"/>
  <c r="B8" i="6"/>
  <c r="K7" i="6"/>
  <c r="D7" i="6"/>
  <c r="B7" i="6"/>
  <c r="K6" i="6"/>
  <c r="D6" i="6"/>
  <c r="B6" i="6"/>
  <c r="K5" i="6"/>
  <c r="D5" i="6"/>
  <c r="B5" i="6"/>
  <c r="K4" i="6"/>
  <c r="D4" i="6"/>
  <c r="B4" i="6"/>
  <c r="K30" i="5"/>
  <c r="D30" i="5"/>
  <c r="B30" i="5"/>
  <c r="K29" i="5"/>
  <c r="D29" i="5"/>
  <c r="B29" i="5"/>
  <c r="K28" i="5"/>
  <c r="D28" i="5"/>
  <c r="B28" i="5"/>
  <c r="K27" i="5"/>
  <c r="D27" i="5"/>
  <c r="B27" i="5"/>
  <c r="K26" i="5"/>
  <c r="D26" i="5"/>
  <c r="B26" i="5"/>
  <c r="K25" i="5"/>
  <c r="D25" i="5"/>
  <c r="B25" i="5"/>
  <c r="K24" i="5"/>
  <c r="D24" i="5"/>
  <c r="B24" i="5"/>
  <c r="K23" i="5"/>
  <c r="D23" i="5"/>
  <c r="B23" i="5"/>
  <c r="K22" i="5"/>
  <c r="D22" i="5"/>
  <c r="B22" i="5"/>
  <c r="K21" i="5"/>
  <c r="D21" i="5"/>
  <c r="B21" i="5"/>
  <c r="K20" i="5"/>
  <c r="D20" i="5"/>
  <c r="B20" i="5"/>
  <c r="K19" i="5"/>
  <c r="D19" i="5"/>
  <c r="B19" i="5"/>
  <c r="K18" i="5"/>
  <c r="D18" i="5"/>
  <c r="B18" i="5"/>
  <c r="K17" i="5"/>
  <c r="D17" i="5"/>
  <c r="B17" i="5"/>
  <c r="K16" i="5"/>
  <c r="D16" i="5"/>
  <c r="B16" i="5"/>
  <c r="K15" i="5"/>
  <c r="D15" i="5"/>
  <c r="B15" i="5"/>
  <c r="K14" i="5"/>
  <c r="D14" i="5"/>
  <c r="B14" i="5"/>
  <c r="K13" i="5"/>
  <c r="D13" i="5"/>
  <c r="B13" i="5"/>
  <c r="K12" i="5"/>
  <c r="D12" i="5"/>
  <c r="B12" i="5"/>
  <c r="K11" i="5"/>
  <c r="D11" i="5"/>
  <c r="B11" i="5"/>
  <c r="K10" i="5"/>
  <c r="D10" i="5"/>
  <c r="B10" i="5"/>
  <c r="K9" i="5"/>
  <c r="D9" i="5"/>
  <c r="B9" i="5"/>
  <c r="K8" i="5"/>
  <c r="D8" i="5"/>
  <c r="B8" i="5"/>
  <c r="K7" i="5"/>
  <c r="D7" i="5"/>
  <c r="B7" i="5"/>
  <c r="K6" i="5"/>
  <c r="D6" i="5"/>
  <c r="B6" i="5"/>
  <c r="K5" i="5"/>
  <c r="K4" i="5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J12" i="4"/>
  <c r="K11" i="4"/>
  <c r="K10" i="4"/>
  <c r="K9" i="4"/>
  <c r="K8" i="4"/>
  <c r="K7" i="4"/>
  <c r="K6" i="4"/>
  <c r="K5" i="4"/>
  <c r="K4" i="4"/>
  <c r="K30" i="3"/>
  <c r="D30" i="3"/>
  <c r="B30" i="3"/>
  <c r="K29" i="3"/>
  <c r="D29" i="3"/>
  <c r="B29" i="3"/>
  <c r="K28" i="3"/>
  <c r="D28" i="3"/>
  <c r="B28" i="3"/>
  <c r="K27" i="3"/>
  <c r="D27" i="3"/>
  <c r="B27" i="3"/>
  <c r="K26" i="3"/>
  <c r="D26" i="3"/>
  <c r="B26" i="3"/>
  <c r="K25" i="3"/>
  <c r="D25" i="3"/>
  <c r="B25" i="3"/>
  <c r="K24" i="3"/>
  <c r="D24" i="3"/>
  <c r="B24" i="3"/>
  <c r="K23" i="3"/>
  <c r="K22" i="3"/>
  <c r="K21" i="3"/>
  <c r="K20" i="3"/>
  <c r="K19" i="3"/>
  <c r="K18" i="3"/>
  <c r="K17" i="3"/>
  <c r="K16" i="3"/>
  <c r="K15" i="3"/>
  <c r="K14" i="3"/>
  <c r="K13" i="3"/>
  <c r="K12" i="3"/>
  <c r="J12" i="3"/>
  <c r="K11" i="3"/>
  <c r="J11" i="3"/>
  <c r="K10" i="3"/>
  <c r="K9" i="3"/>
  <c r="K8" i="3"/>
  <c r="K7" i="3"/>
  <c r="K6" i="3"/>
  <c r="K5" i="3"/>
  <c r="K4" i="3"/>
  <c r="K25" i="2"/>
  <c r="D25" i="2"/>
  <c r="B25" i="2"/>
  <c r="K24" i="2"/>
  <c r="D24" i="2"/>
  <c r="B24" i="2"/>
  <c r="K23" i="2"/>
  <c r="D23" i="2"/>
  <c r="B23" i="2"/>
  <c r="K22" i="2"/>
  <c r="D22" i="2"/>
  <c r="B22" i="2"/>
  <c r="K21" i="2"/>
  <c r="D21" i="2"/>
  <c r="B21" i="2"/>
  <c r="K20" i="2"/>
  <c r="D20" i="2"/>
  <c r="B20" i="2"/>
  <c r="K19" i="2"/>
  <c r="D19" i="2"/>
  <c r="B19" i="2"/>
  <c r="K18" i="2"/>
  <c r="K17" i="2"/>
  <c r="K16" i="2"/>
  <c r="K15" i="2"/>
  <c r="K14" i="2"/>
  <c r="K13" i="2"/>
  <c r="J13" i="2"/>
  <c r="K12" i="2"/>
  <c r="J12" i="2"/>
  <c r="K11" i="2"/>
  <c r="K10" i="2"/>
  <c r="K9" i="2"/>
  <c r="K8" i="2"/>
  <c r="J8" i="2"/>
  <c r="K7" i="2"/>
  <c r="K6" i="2"/>
  <c r="K5" i="2"/>
  <c r="K4" i="2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L73" i="1"/>
  <c r="E73" i="1"/>
  <c r="D73" i="1"/>
  <c r="C73" i="1"/>
  <c r="A73" i="1" s="1"/>
  <c r="B73" i="1"/>
  <c r="L72" i="1"/>
  <c r="E72" i="1"/>
  <c r="D72" i="1"/>
  <c r="C72" i="1"/>
  <c r="A72" i="1" s="1"/>
  <c r="B72" i="1"/>
  <c r="L71" i="1"/>
  <c r="E71" i="1"/>
  <c r="D71" i="1"/>
  <c r="C71" i="1"/>
  <c r="A71" i="1" s="1"/>
  <c r="B71" i="1"/>
  <c r="L70" i="1"/>
  <c r="E70" i="1"/>
  <c r="D70" i="1"/>
  <c r="C70" i="1"/>
  <c r="A70" i="1" s="1"/>
  <c r="B70" i="1"/>
  <c r="L69" i="1"/>
  <c r="E69" i="1"/>
  <c r="D69" i="1"/>
  <c r="C69" i="1"/>
  <c r="A69" i="1" s="1"/>
  <c r="B69" i="1"/>
  <c r="L68" i="1"/>
  <c r="E68" i="1"/>
  <c r="D68" i="1"/>
  <c r="C68" i="1"/>
  <c r="A68" i="1" s="1"/>
  <c r="B68" i="1"/>
  <c r="L67" i="1"/>
  <c r="E67" i="1"/>
  <c r="D67" i="1"/>
  <c r="C67" i="1"/>
  <c r="A67" i="1" s="1"/>
  <c r="B67" i="1"/>
  <c r="L66" i="1"/>
  <c r="E66" i="1"/>
  <c r="D66" i="1"/>
  <c r="C66" i="1"/>
  <c r="A66" i="1" s="1"/>
  <c r="B66" i="1"/>
  <c r="L65" i="1"/>
  <c r="K65" i="1"/>
  <c r="J65" i="1"/>
  <c r="I65" i="1"/>
  <c r="H65" i="1"/>
  <c r="G65" i="1"/>
  <c r="F65" i="1"/>
  <c r="E65" i="1"/>
  <c r="D65" i="1"/>
  <c r="C65" i="1"/>
  <c r="B65" i="1"/>
  <c r="L64" i="1"/>
  <c r="K64" i="1"/>
  <c r="J64" i="1"/>
  <c r="I64" i="1"/>
  <c r="H64" i="1"/>
  <c r="G64" i="1"/>
  <c r="F64" i="1"/>
  <c r="E64" i="1"/>
  <c r="D64" i="1"/>
  <c r="C64" i="1"/>
  <c r="B64" i="1"/>
  <c r="L63" i="1"/>
  <c r="K63" i="1"/>
  <c r="I63" i="1"/>
  <c r="H63" i="1"/>
  <c r="G63" i="1"/>
  <c r="F63" i="1"/>
  <c r="E63" i="1"/>
  <c r="D63" i="1"/>
  <c r="C63" i="1"/>
  <c r="B63" i="1"/>
  <c r="L62" i="1"/>
  <c r="K62" i="1"/>
  <c r="I62" i="1"/>
  <c r="H62" i="1"/>
  <c r="G62" i="1"/>
  <c r="F62" i="1"/>
  <c r="E62" i="1"/>
  <c r="D62" i="1"/>
  <c r="C62" i="1"/>
  <c r="B62" i="1"/>
  <c r="L61" i="1"/>
  <c r="K61" i="1"/>
  <c r="I61" i="1"/>
  <c r="H61" i="1"/>
  <c r="G61" i="1"/>
  <c r="F61" i="1"/>
  <c r="E61" i="1"/>
  <c r="D61" i="1"/>
  <c r="C61" i="1"/>
  <c r="B61" i="1"/>
  <c r="L60" i="1"/>
  <c r="K60" i="1"/>
  <c r="J60" i="1"/>
  <c r="H60" i="1"/>
  <c r="G60" i="1"/>
  <c r="F60" i="1"/>
  <c r="E60" i="1"/>
  <c r="D60" i="1"/>
  <c r="C60" i="1"/>
  <c r="B60" i="1"/>
  <c r="L59" i="1"/>
  <c r="K59" i="1"/>
  <c r="J59" i="1"/>
  <c r="I59" i="1"/>
  <c r="H59" i="1"/>
  <c r="G59" i="1"/>
  <c r="F59" i="1"/>
  <c r="E59" i="1"/>
  <c r="D59" i="1"/>
  <c r="C59" i="1"/>
  <c r="B59" i="1"/>
  <c r="L58" i="1"/>
  <c r="K58" i="1"/>
  <c r="J58" i="1"/>
  <c r="I58" i="1"/>
  <c r="H58" i="1"/>
  <c r="G58" i="1"/>
  <c r="F58" i="1"/>
  <c r="E58" i="1"/>
  <c r="D58" i="1"/>
  <c r="C58" i="1"/>
  <c r="B58" i="1"/>
  <c r="L57" i="1"/>
  <c r="K57" i="1"/>
  <c r="J57" i="1"/>
  <c r="I57" i="1"/>
  <c r="H57" i="1"/>
  <c r="G57" i="1"/>
  <c r="F57" i="1"/>
  <c r="E57" i="1"/>
  <c r="D57" i="1"/>
  <c r="C57" i="1"/>
  <c r="B57" i="1"/>
  <c r="L56" i="1"/>
  <c r="K56" i="1"/>
  <c r="J56" i="1"/>
  <c r="I56" i="1"/>
  <c r="H56" i="1"/>
  <c r="G56" i="1"/>
  <c r="F56" i="1"/>
  <c r="E56" i="1"/>
  <c r="D56" i="1"/>
  <c r="C56" i="1"/>
  <c r="B56" i="1"/>
  <c r="L55" i="1"/>
  <c r="K55" i="1"/>
  <c r="J55" i="1"/>
  <c r="I55" i="1"/>
  <c r="H55" i="1"/>
  <c r="G55" i="1"/>
  <c r="F55" i="1"/>
  <c r="E55" i="1"/>
  <c r="D55" i="1"/>
  <c r="C55" i="1"/>
  <c r="B55" i="1"/>
  <c r="L54" i="1"/>
  <c r="I54" i="1"/>
  <c r="H54" i="1"/>
  <c r="G54" i="1"/>
  <c r="F54" i="1"/>
  <c r="E54" i="1"/>
  <c r="D54" i="1"/>
  <c r="C54" i="1"/>
  <c r="B54" i="1"/>
  <c r="L53" i="1"/>
  <c r="I53" i="1"/>
  <c r="H53" i="1"/>
  <c r="G53" i="1"/>
  <c r="F53" i="1"/>
  <c r="E53" i="1"/>
  <c r="D53" i="1"/>
  <c r="C53" i="1"/>
  <c r="B53" i="1"/>
  <c r="L52" i="1"/>
  <c r="K52" i="1"/>
  <c r="J52" i="1"/>
  <c r="I52" i="1"/>
  <c r="H52" i="1"/>
  <c r="G52" i="1"/>
  <c r="F52" i="1"/>
  <c r="E52" i="1"/>
  <c r="D52" i="1"/>
  <c r="C52" i="1"/>
  <c r="B52" i="1"/>
  <c r="L51" i="1"/>
  <c r="K51" i="1"/>
  <c r="J51" i="1"/>
  <c r="I51" i="1"/>
  <c r="H51" i="1"/>
  <c r="G51" i="1"/>
  <c r="F51" i="1"/>
  <c r="E51" i="1"/>
  <c r="D51" i="1"/>
  <c r="C51" i="1"/>
  <c r="B51" i="1"/>
  <c r="L50" i="1"/>
  <c r="K50" i="1"/>
  <c r="J50" i="1"/>
  <c r="H50" i="1"/>
  <c r="G50" i="1"/>
  <c r="F50" i="1"/>
  <c r="E50" i="1"/>
  <c r="D50" i="1"/>
  <c r="C50" i="1"/>
  <c r="B50" i="1"/>
  <c r="L49" i="1"/>
  <c r="K49" i="1"/>
  <c r="J49" i="1"/>
  <c r="H49" i="1"/>
  <c r="G49" i="1"/>
  <c r="F49" i="1"/>
  <c r="E49" i="1"/>
  <c r="D49" i="1"/>
  <c r="C49" i="1"/>
  <c r="B49" i="1"/>
  <c r="L48" i="1"/>
  <c r="K48" i="1"/>
  <c r="J48" i="1"/>
  <c r="H48" i="1"/>
  <c r="G48" i="1"/>
  <c r="F48" i="1"/>
  <c r="E48" i="1"/>
  <c r="D48" i="1"/>
  <c r="C48" i="1"/>
  <c r="B48" i="1"/>
  <c r="L47" i="1"/>
  <c r="K47" i="1"/>
  <c r="J47" i="1"/>
  <c r="I47" i="1"/>
  <c r="H47" i="1"/>
  <c r="G47" i="1"/>
  <c r="F47" i="1"/>
  <c r="E47" i="1"/>
  <c r="D47" i="1"/>
  <c r="C47" i="1"/>
  <c r="B47" i="1"/>
  <c r="L46" i="1"/>
  <c r="K46" i="1"/>
  <c r="J46" i="1"/>
  <c r="I46" i="1"/>
  <c r="H46" i="1"/>
  <c r="G46" i="1"/>
  <c r="F46" i="1"/>
  <c r="E46" i="1"/>
  <c r="D46" i="1"/>
  <c r="C46" i="1"/>
  <c r="B46" i="1"/>
  <c r="L45" i="1"/>
  <c r="K45" i="1"/>
  <c r="J45" i="1"/>
  <c r="H45" i="1"/>
  <c r="G45" i="1"/>
  <c r="F45" i="1"/>
  <c r="E45" i="1"/>
  <c r="D45" i="1"/>
  <c r="C45" i="1"/>
  <c r="B45" i="1"/>
  <c r="L44" i="1"/>
  <c r="K44" i="1"/>
  <c r="J44" i="1"/>
  <c r="H44" i="1"/>
  <c r="G44" i="1"/>
  <c r="F44" i="1"/>
  <c r="E44" i="1"/>
  <c r="D44" i="1"/>
  <c r="C44" i="1"/>
  <c r="B44" i="1"/>
  <c r="L43" i="1"/>
  <c r="K43" i="1"/>
  <c r="J43" i="1"/>
  <c r="H43" i="1"/>
  <c r="G43" i="1"/>
  <c r="F43" i="1"/>
  <c r="E43" i="1"/>
  <c r="D43" i="1"/>
  <c r="C43" i="1"/>
  <c r="B43" i="1"/>
  <c r="L42" i="1"/>
  <c r="K42" i="1"/>
  <c r="J42" i="1"/>
  <c r="H42" i="1"/>
  <c r="G42" i="1"/>
  <c r="F42" i="1"/>
  <c r="E42" i="1"/>
  <c r="D42" i="1"/>
  <c r="C42" i="1"/>
  <c r="B42" i="1"/>
  <c r="L41" i="1"/>
  <c r="K41" i="1"/>
  <c r="J41" i="1"/>
  <c r="H41" i="1"/>
  <c r="G41" i="1"/>
  <c r="F41" i="1"/>
  <c r="E41" i="1"/>
  <c r="D41" i="1"/>
  <c r="C41" i="1"/>
  <c r="B41" i="1"/>
  <c r="L40" i="1"/>
  <c r="K40" i="1"/>
  <c r="J40" i="1"/>
  <c r="H40" i="1"/>
  <c r="G40" i="1"/>
  <c r="F40" i="1"/>
  <c r="E40" i="1"/>
  <c r="D40" i="1"/>
  <c r="C40" i="1"/>
  <c r="B40" i="1"/>
  <c r="L39" i="1"/>
  <c r="K39" i="1"/>
  <c r="J39" i="1"/>
  <c r="I39" i="1"/>
  <c r="H39" i="1"/>
  <c r="G39" i="1"/>
  <c r="F39" i="1"/>
  <c r="E39" i="1"/>
  <c r="D39" i="1"/>
  <c r="C39" i="1"/>
  <c r="B39" i="1"/>
  <c r="L38" i="1"/>
  <c r="K38" i="1"/>
  <c r="J38" i="1"/>
  <c r="H38" i="1"/>
  <c r="G38" i="1"/>
  <c r="F38" i="1"/>
  <c r="E38" i="1"/>
  <c r="D38" i="1"/>
  <c r="C38" i="1"/>
  <c r="B38" i="1"/>
  <c r="L37" i="1"/>
  <c r="K37" i="1"/>
  <c r="J37" i="1"/>
  <c r="I37" i="1"/>
  <c r="H37" i="1"/>
  <c r="G37" i="1"/>
  <c r="F37" i="1"/>
  <c r="E37" i="1"/>
  <c r="D37" i="1"/>
  <c r="C37" i="1"/>
  <c r="B37" i="1"/>
  <c r="L36" i="1"/>
  <c r="K36" i="1"/>
  <c r="I36" i="1"/>
  <c r="H36" i="1"/>
  <c r="G36" i="1"/>
  <c r="F36" i="1"/>
  <c r="E36" i="1"/>
  <c r="D36" i="1"/>
  <c r="C36" i="1"/>
  <c r="B36" i="1"/>
  <c r="L35" i="1"/>
  <c r="K35" i="1"/>
  <c r="I35" i="1"/>
  <c r="H35" i="1"/>
  <c r="G35" i="1"/>
  <c r="F35" i="1"/>
  <c r="E35" i="1"/>
  <c r="D35" i="1"/>
  <c r="C35" i="1"/>
  <c r="B35" i="1"/>
  <c r="L34" i="1"/>
  <c r="K34" i="1"/>
  <c r="J34" i="1"/>
  <c r="H34" i="1"/>
  <c r="G34" i="1"/>
  <c r="F34" i="1"/>
  <c r="E34" i="1"/>
  <c r="D34" i="1"/>
  <c r="C34" i="1"/>
  <c r="B34" i="1"/>
  <c r="L33" i="1"/>
  <c r="K33" i="1"/>
  <c r="J33" i="1"/>
  <c r="I33" i="1"/>
  <c r="H33" i="1"/>
  <c r="G33" i="1"/>
  <c r="F33" i="1"/>
  <c r="E33" i="1"/>
  <c r="D33" i="1"/>
  <c r="C33" i="1"/>
  <c r="B33" i="1"/>
  <c r="L32" i="1"/>
  <c r="K32" i="1"/>
  <c r="J32" i="1"/>
  <c r="H32" i="1"/>
  <c r="G32" i="1"/>
  <c r="F32" i="1"/>
  <c r="E32" i="1"/>
  <c r="D32" i="1"/>
  <c r="C32" i="1"/>
  <c r="B32" i="1"/>
  <c r="L31" i="1"/>
  <c r="K31" i="1"/>
  <c r="J31" i="1"/>
  <c r="H31" i="1"/>
  <c r="G31" i="1"/>
  <c r="F31" i="1"/>
  <c r="E31" i="1"/>
  <c r="D31" i="1"/>
  <c r="C31" i="1"/>
  <c r="B31" i="1"/>
  <c r="L30" i="1"/>
  <c r="K30" i="1"/>
  <c r="J30" i="1"/>
  <c r="I30" i="1"/>
  <c r="H30" i="1"/>
  <c r="G30" i="1"/>
  <c r="F30" i="1"/>
  <c r="E30" i="1"/>
  <c r="D30" i="1"/>
  <c r="C30" i="1"/>
  <c r="B30" i="1"/>
  <c r="L29" i="1"/>
  <c r="K29" i="1"/>
  <c r="J29" i="1"/>
  <c r="H29" i="1"/>
  <c r="G29" i="1"/>
  <c r="F29" i="1"/>
  <c r="E29" i="1"/>
  <c r="D29" i="1"/>
  <c r="C29" i="1"/>
  <c r="B29" i="1"/>
  <c r="L28" i="1"/>
  <c r="K28" i="1"/>
  <c r="J28" i="1"/>
  <c r="H28" i="1"/>
  <c r="G28" i="1"/>
  <c r="F28" i="1"/>
  <c r="E28" i="1"/>
  <c r="D28" i="1"/>
  <c r="C28" i="1"/>
  <c r="B28" i="1"/>
  <c r="L27" i="1"/>
  <c r="K27" i="1"/>
  <c r="J27" i="1"/>
  <c r="H27" i="1"/>
  <c r="G27" i="1"/>
  <c r="F27" i="1"/>
  <c r="E27" i="1"/>
  <c r="D27" i="1"/>
  <c r="C27" i="1"/>
  <c r="B27" i="1"/>
  <c r="L26" i="1"/>
  <c r="K26" i="1"/>
  <c r="J26" i="1"/>
  <c r="H26" i="1"/>
  <c r="G26" i="1"/>
  <c r="F26" i="1"/>
  <c r="E26" i="1"/>
  <c r="D26" i="1"/>
  <c r="C26" i="1"/>
  <c r="B26" i="1"/>
  <c r="L25" i="1"/>
  <c r="K25" i="1"/>
  <c r="J25" i="1"/>
  <c r="H25" i="1"/>
  <c r="G25" i="1"/>
  <c r="F25" i="1"/>
  <c r="E25" i="1"/>
  <c r="D25" i="1"/>
  <c r="C25" i="1"/>
  <c r="B25" i="1"/>
  <c r="L24" i="1"/>
  <c r="K24" i="1"/>
  <c r="J24" i="1"/>
  <c r="H24" i="1"/>
  <c r="G24" i="1"/>
  <c r="F24" i="1"/>
  <c r="E24" i="1"/>
  <c r="D24" i="1"/>
  <c r="C24" i="1"/>
  <c r="B24" i="1"/>
  <c r="L23" i="1"/>
  <c r="K23" i="1"/>
  <c r="J23" i="1"/>
  <c r="I23" i="1"/>
  <c r="H23" i="1"/>
  <c r="G23" i="1"/>
  <c r="F23" i="1"/>
  <c r="E23" i="1"/>
  <c r="D23" i="1"/>
  <c r="C23" i="1"/>
  <c r="B23" i="1"/>
  <c r="L22" i="1"/>
  <c r="K22" i="1"/>
  <c r="J22" i="1"/>
  <c r="I22" i="1"/>
  <c r="H22" i="1"/>
  <c r="G22" i="1"/>
  <c r="F22" i="1"/>
  <c r="E22" i="1"/>
  <c r="D22" i="1"/>
  <c r="C22" i="1"/>
  <c r="B22" i="1"/>
  <c r="L21" i="1"/>
  <c r="K21" i="1"/>
  <c r="J21" i="1"/>
  <c r="H21" i="1"/>
  <c r="G21" i="1"/>
  <c r="F21" i="1"/>
  <c r="E21" i="1"/>
  <c r="D21" i="1"/>
  <c r="C21" i="1"/>
  <c r="B21" i="1"/>
  <c r="L20" i="1"/>
  <c r="K20" i="1"/>
  <c r="J20" i="1"/>
  <c r="I20" i="1"/>
  <c r="H20" i="1"/>
  <c r="G20" i="1"/>
  <c r="F20" i="1"/>
  <c r="E20" i="1"/>
  <c r="D20" i="1"/>
  <c r="C20" i="1"/>
  <c r="B20" i="1"/>
  <c r="L19" i="1"/>
  <c r="K19" i="1"/>
  <c r="J19" i="1"/>
  <c r="H19" i="1"/>
  <c r="G19" i="1"/>
  <c r="F19" i="1"/>
  <c r="E19" i="1"/>
  <c r="D19" i="1"/>
  <c r="C19" i="1"/>
  <c r="B19" i="1"/>
  <c r="L18" i="1"/>
  <c r="K18" i="1"/>
  <c r="J18" i="1"/>
  <c r="I18" i="1"/>
  <c r="H18" i="1"/>
  <c r="G18" i="1"/>
  <c r="F18" i="1"/>
  <c r="E18" i="1"/>
  <c r="D18" i="1"/>
  <c r="C18" i="1"/>
  <c r="B18" i="1"/>
  <c r="L17" i="1"/>
  <c r="K17" i="1"/>
  <c r="J17" i="1"/>
  <c r="I17" i="1"/>
  <c r="H17" i="1"/>
  <c r="G17" i="1"/>
  <c r="F17" i="1"/>
  <c r="E17" i="1"/>
  <c r="D17" i="1"/>
  <c r="C17" i="1"/>
  <c r="B17" i="1"/>
  <c r="L16" i="1"/>
  <c r="K16" i="1"/>
  <c r="J16" i="1"/>
  <c r="I16" i="1"/>
  <c r="H16" i="1"/>
  <c r="G16" i="1"/>
  <c r="F16" i="1"/>
  <c r="E16" i="1"/>
  <c r="D16" i="1"/>
  <c r="C16" i="1"/>
  <c r="B16" i="1"/>
  <c r="L15" i="1"/>
  <c r="H15" i="1"/>
  <c r="G15" i="1"/>
  <c r="F15" i="1"/>
  <c r="E15" i="1"/>
  <c r="D15" i="1"/>
  <c r="C15" i="1"/>
  <c r="B15" i="1"/>
  <c r="L14" i="1"/>
  <c r="K14" i="1"/>
  <c r="J14" i="1"/>
  <c r="H14" i="1"/>
  <c r="G14" i="1"/>
  <c r="F14" i="1"/>
  <c r="E14" i="1"/>
  <c r="D14" i="1"/>
  <c r="C14" i="1"/>
  <c r="B14" i="1"/>
  <c r="L13" i="1"/>
  <c r="K13" i="1"/>
  <c r="J13" i="1"/>
  <c r="I13" i="1"/>
  <c r="H13" i="1"/>
  <c r="G13" i="1"/>
  <c r="F13" i="1"/>
  <c r="E13" i="1"/>
  <c r="D13" i="1"/>
  <c r="C13" i="1"/>
  <c r="B13" i="1"/>
  <c r="L12" i="1"/>
  <c r="K12" i="1"/>
  <c r="J12" i="1"/>
  <c r="I12" i="1"/>
  <c r="H12" i="1"/>
  <c r="G12" i="1"/>
  <c r="F12" i="1"/>
  <c r="E12" i="1"/>
  <c r="D12" i="1"/>
  <c r="C12" i="1"/>
  <c r="B12" i="1"/>
  <c r="L11" i="1"/>
  <c r="K11" i="1"/>
  <c r="J11" i="1"/>
  <c r="I11" i="1"/>
  <c r="H11" i="1"/>
  <c r="G11" i="1"/>
  <c r="F11" i="1"/>
  <c r="E11" i="1"/>
  <c r="D11" i="1"/>
  <c r="C11" i="1"/>
  <c r="B11" i="1"/>
  <c r="L10" i="1"/>
  <c r="K10" i="1"/>
  <c r="J10" i="1"/>
  <c r="I10" i="1"/>
  <c r="H10" i="1"/>
  <c r="G10" i="1"/>
  <c r="F10" i="1"/>
  <c r="E10" i="1"/>
  <c r="D10" i="1"/>
  <c r="C10" i="1"/>
  <c r="B10" i="1"/>
  <c r="L9" i="1"/>
  <c r="K9" i="1"/>
  <c r="J9" i="1"/>
  <c r="I9" i="1"/>
  <c r="H9" i="1"/>
  <c r="G9" i="1"/>
  <c r="F9" i="1"/>
  <c r="E9" i="1"/>
  <c r="D9" i="1"/>
  <c r="C9" i="1"/>
  <c r="B9" i="1"/>
  <c r="L8" i="1"/>
  <c r="K8" i="1"/>
  <c r="J8" i="1"/>
  <c r="I8" i="1"/>
  <c r="H8" i="1"/>
  <c r="G8" i="1"/>
  <c r="F8" i="1"/>
  <c r="E8" i="1"/>
  <c r="D8" i="1"/>
  <c r="C8" i="1"/>
  <c r="B8" i="1"/>
  <c r="L7" i="1"/>
  <c r="K7" i="1"/>
  <c r="J7" i="1"/>
  <c r="I7" i="1"/>
  <c r="H7" i="1"/>
  <c r="G7" i="1"/>
  <c r="F7" i="1"/>
  <c r="E7" i="1"/>
  <c r="D7" i="1"/>
  <c r="C7" i="1"/>
  <c r="B7" i="1"/>
  <c r="L6" i="1"/>
  <c r="K6" i="1"/>
  <c r="J6" i="1"/>
  <c r="I6" i="1"/>
  <c r="H6" i="1"/>
  <c r="G6" i="1"/>
  <c r="F6" i="1"/>
  <c r="E6" i="1"/>
  <c r="D6" i="1"/>
  <c r="C6" i="1"/>
  <c r="B6" i="1"/>
  <c r="L5" i="1"/>
  <c r="K5" i="1"/>
  <c r="J5" i="1"/>
  <c r="H5" i="1"/>
  <c r="G5" i="1"/>
  <c r="F5" i="1"/>
  <c r="E5" i="1"/>
  <c r="D5" i="1"/>
  <c r="C5" i="1"/>
  <c r="B5" i="1"/>
  <c r="L4" i="1"/>
  <c r="K4" i="1"/>
  <c r="J4" i="1"/>
  <c r="H4" i="1"/>
  <c r="G4" i="1"/>
  <c r="F4" i="1"/>
  <c r="E4" i="1"/>
  <c r="D4" i="1"/>
  <c r="C4" i="1"/>
  <c r="B4" i="1"/>
  <c r="L3" i="1"/>
  <c r="K3" i="1"/>
  <c r="J3" i="1"/>
  <c r="I3" i="1"/>
  <c r="H3" i="1"/>
  <c r="G3" i="1"/>
  <c r="F3" i="1"/>
  <c r="E3" i="1"/>
  <c r="D3" i="1"/>
  <c r="C3" i="1"/>
  <c r="B3" i="1"/>
  <c r="L2" i="1"/>
  <c r="K2" i="1"/>
  <c r="J2" i="1"/>
  <c r="H2" i="1"/>
  <c r="G2" i="1"/>
  <c r="F2" i="1"/>
  <c r="E2" i="1"/>
  <c r="D2" i="1"/>
  <c r="C2" i="1"/>
  <c r="B2" i="1"/>
  <c r="D55" i="18" l="1"/>
  <c r="C16" i="18"/>
  <c r="C20" i="18"/>
  <c r="C24" i="18"/>
  <c r="C28" i="18"/>
  <c r="C32" i="18"/>
  <c r="C36" i="18"/>
  <c r="C40" i="18"/>
  <c r="C44" i="18"/>
  <c r="C48" i="18"/>
  <c r="C52" i="18"/>
  <c r="D16" i="18"/>
  <c r="D20" i="18"/>
  <c r="D24" i="18"/>
  <c r="D28" i="18"/>
  <c r="D32" i="18"/>
  <c r="D36" i="18"/>
  <c r="D40" i="18"/>
  <c r="D44" i="18"/>
  <c r="D48" i="18"/>
  <c r="D52" i="18"/>
  <c r="C17" i="18"/>
  <c r="C21" i="18"/>
  <c r="C25" i="18"/>
  <c r="C29" i="18"/>
  <c r="C33" i="18"/>
  <c r="C37" i="18"/>
  <c r="C41" i="18"/>
  <c r="C45" i="18"/>
  <c r="C49" i="18"/>
  <c r="C53" i="18"/>
  <c r="D17" i="18"/>
  <c r="D21" i="18"/>
  <c r="D25" i="18"/>
  <c r="D29" i="18"/>
  <c r="D33" i="18"/>
  <c r="D37" i="18"/>
  <c r="D41" i="18"/>
  <c r="D45" i="18"/>
  <c r="D49" i="18"/>
  <c r="D53" i="18"/>
  <c r="C18" i="18"/>
  <c r="C22" i="18"/>
  <c r="C26" i="18"/>
  <c r="C30" i="18"/>
  <c r="C34" i="18"/>
  <c r="C38" i="18"/>
  <c r="C42" i="18"/>
  <c r="C46" i="18"/>
  <c r="C50" i="18"/>
  <c r="C54" i="18"/>
  <c r="D18" i="18"/>
  <c r="D22" i="18"/>
  <c r="D26" i="18"/>
  <c r="D30" i="18"/>
  <c r="D34" i="18"/>
  <c r="D38" i="18"/>
  <c r="D42" i="18"/>
  <c r="D46" i="18"/>
  <c r="D50" i="18"/>
  <c r="D54" i="18"/>
  <c r="C15" i="18"/>
  <c r="C19" i="18"/>
  <c r="C23" i="18"/>
  <c r="C27" i="18"/>
  <c r="C31" i="18"/>
  <c r="C35" i="18"/>
  <c r="C39" i="18"/>
  <c r="C43" i="18"/>
  <c r="C47" i="18"/>
  <c r="C51" i="18"/>
  <c r="C55" i="18"/>
  <c r="D15" i="18"/>
  <c r="D19" i="18"/>
  <c r="D23" i="18"/>
  <c r="D27" i="18"/>
  <c r="D31" i="18"/>
  <c r="D35" i="18"/>
  <c r="D39" i="18"/>
  <c r="D43" i="18"/>
  <c r="D47" i="18"/>
  <c r="D51" i="18"/>
  <c r="C14" i="18"/>
  <c r="D14" i="18"/>
  <c r="D9" i="18"/>
  <c r="D8" i="18"/>
  <c r="D7" i="18"/>
  <c r="D5" i="18"/>
  <c r="D6" i="18"/>
  <c r="C9" i="18"/>
  <c r="C7" i="18"/>
  <c r="C8" i="18"/>
  <c r="C5" i="18"/>
  <c r="C6" i="18"/>
  <c r="N8" i="10" a="1"/>
  <c r="N8" i="10" s="1"/>
  <c r="N19" i="10" a="1"/>
  <c r="N19" i="10" s="1"/>
  <c r="N8" i="11" a="1"/>
  <c r="N8" i="11" s="1"/>
  <c r="N29" i="5" a="1"/>
  <c r="N29" i="5" s="1"/>
  <c r="D11" i="4"/>
  <c r="N11" i="4" s="1" a="1"/>
  <c r="N11" i="4" s="1"/>
  <c r="A38" i="1"/>
  <c r="D15" i="3"/>
  <c r="N13" i="13" a="1"/>
  <c r="N13" i="13" s="1"/>
  <c r="A3" i="1"/>
  <c r="N18" i="7" a="1"/>
  <c r="N18" i="7" s="1"/>
  <c r="A55" i="1"/>
  <c r="A32" i="1"/>
  <c r="A42" i="1"/>
  <c r="A12" i="1"/>
  <c r="A16" i="1"/>
  <c r="A39" i="1"/>
  <c r="A57" i="1"/>
  <c r="A4" i="1"/>
  <c r="A34" i="1"/>
  <c r="A7" i="1"/>
  <c r="A64" i="1"/>
  <c r="D17" i="2"/>
  <c r="B17" i="2" s="1"/>
  <c r="A23" i="1"/>
  <c r="A14" i="1"/>
  <c r="A18" i="1"/>
  <c r="A21" i="1"/>
  <c r="A24" i="1"/>
  <c r="A41" i="1"/>
  <c r="D23" i="3"/>
  <c r="N23" i="3" s="1" a="1"/>
  <c r="N23" i="3" s="1"/>
  <c r="N7" i="8" a="1"/>
  <c r="N7" i="8" s="1"/>
  <c r="N76" i="17"/>
  <c r="A9" i="1"/>
  <c r="A52" i="1"/>
  <c r="A58" i="1"/>
  <c r="A61" i="1"/>
  <c r="N20" i="2" a="1"/>
  <c r="N20" i="2" s="1"/>
  <c r="N18" i="13" a="1"/>
  <c r="N18" i="13" s="1"/>
  <c r="N4" i="12" a="1"/>
  <c r="N4" i="12" s="1"/>
  <c r="N12" i="5" a="1"/>
  <c r="N12" i="5" s="1"/>
  <c r="D9" i="2"/>
  <c r="B9" i="2" s="1"/>
  <c r="A25" i="1"/>
  <c r="A26" i="1"/>
  <c r="A30" i="1"/>
  <c r="A33" i="1"/>
  <c r="A43" i="1"/>
  <c r="A49" i="1"/>
  <c r="A59" i="1"/>
  <c r="N17" i="7" a="1"/>
  <c r="N17" i="7" s="1"/>
  <c r="N19" i="7" a="1"/>
  <c r="N19" i="7" s="1"/>
  <c r="N25" i="11" a="1"/>
  <c r="N25" i="11" s="1"/>
  <c r="N29" i="13" a="1"/>
  <c r="N29" i="13" s="1"/>
  <c r="A13" i="1"/>
  <c r="A47" i="1"/>
  <c r="A54" i="1"/>
  <c r="N24" i="2" a="1"/>
  <c r="N24" i="2" s="1"/>
  <c r="D10" i="4"/>
  <c r="N10" i="4" s="1" a="1"/>
  <c r="N10" i="4" s="1"/>
  <c r="N7" i="6" a="1"/>
  <c r="N7" i="6" s="1"/>
  <c r="N13" i="10" a="1"/>
  <c r="N13" i="10" s="1"/>
  <c r="A5" i="1"/>
  <c r="A44" i="1"/>
  <c r="A51" i="1"/>
  <c r="D15" i="2"/>
  <c r="B15" i="2" s="1"/>
  <c r="A20" i="1"/>
  <c r="A11" i="1"/>
  <c r="A27" i="1"/>
  <c r="A37" i="1"/>
  <c r="D5" i="2"/>
  <c r="N5" i="2" s="1" a="1"/>
  <c r="N5" i="2" s="1"/>
  <c r="N23" i="2" a="1"/>
  <c r="N23" i="2" s="1"/>
  <c r="N25" i="2" a="1"/>
  <c r="N25" i="2" s="1"/>
  <c r="D10" i="3"/>
  <c r="N24" i="3" a="1"/>
  <c r="N24" i="3" s="1"/>
  <c r="N27" i="3" a="1"/>
  <c r="N27" i="3" s="1"/>
  <c r="B27" i="4"/>
  <c r="N13" i="5" a="1"/>
  <c r="N13" i="5" s="1"/>
  <c r="N12" i="6" a="1"/>
  <c r="N12" i="6" s="1"/>
  <c r="N23" i="6" a="1"/>
  <c r="N23" i="6" s="1"/>
  <c r="N6" i="8" a="1"/>
  <c r="N6" i="8" s="1"/>
  <c r="N8" i="8" a="1"/>
  <c r="N8" i="8" s="1"/>
  <c r="N9" i="11" a="1"/>
  <c r="N9" i="11" s="1"/>
  <c r="N17" i="13" a="1"/>
  <c r="N17" i="13" s="1"/>
  <c r="N77" i="17"/>
  <c r="A22" i="1"/>
  <c r="A28" i="1"/>
  <c r="A29" i="1"/>
  <c r="A35" i="1"/>
  <c r="A63" i="1"/>
  <c r="D16" i="2"/>
  <c r="D24" i="4"/>
  <c r="B24" i="4" s="1"/>
  <c r="N28" i="5" a="1"/>
  <c r="N28" i="5" s="1"/>
  <c r="N8" i="7" a="1"/>
  <c r="N8" i="7" s="1"/>
  <c r="N24" i="11" a="1"/>
  <c r="N24" i="11" s="1"/>
  <c r="N12" i="13" a="1"/>
  <c r="N12" i="13" s="1"/>
  <c r="A62" i="1"/>
  <c r="D13" i="4"/>
  <c r="N13" i="4" s="1" a="1"/>
  <c r="N13" i="4" s="1"/>
  <c r="N16" i="10" a="1"/>
  <c r="N16" i="10" s="1"/>
  <c r="A2" i="1"/>
  <c r="A15" i="1"/>
  <c r="A45" i="1"/>
  <c r="A48" i="1"/>
  <c r="D13" i="2"/>
  <c r="B13" i="2" s="1"/>
  <c r="D12" i="3"/>
  <c r="B12" i="3" s="1"/>
  <c r="D18" i="4"/>
  <c r="B18" i="4" s="1"/>
  <c r="D4" i="5"/>
  <c r="B4" i="5" s="1"/>
  <c r="N24" i="7" a="1"/>
  <c r="N24" i="7" s="1"/>
  <c r="N28" i="13" a="1"/>
  <c r="N28" i="13" s="1"/>
  <c r="A50" i="1"/>
  <c r="N18" i="5" a="1"/>
  <c r="N18" i="5" s="1"/>
  <c r="N17" i="6" a="1"/>
  <c r="N17" i="6" s="1"/>
  <c r="N13" i="8" a="1"/>
  <c r="N13" i="8" s="1"/>
  <c r="N14" i="11" a="1"/>
  <c r="N14" i="11" s="1"/>
  <c r="N16" i="5" a="1"/>
  <c r="N16" i="5" s="1"/>
  <c r="N5" i="6" a="1"/>
  <c r="N5" i="6" s="1"/>
  <c r="N14" i="6" a="1"/>
  <c r="N14" i="6" s="1"/>
  <c r="N16" i="6" a="1"/>
  <c r="N16" i="6" s="1"/>
  <c r="N21" i="6" a="1"/>
  <c r="N21" i="6" s="1"/>
  <c r="N6" i="7" a="1"/>
  <c r="N6" i="7" s="1"/>
  <c r="N22" i="7" a="1"/>
  <c r="N22" i="7" s="1"/>
  <c r="N11" i="8" a="1"/>
  <c r="N11" i="8" s="1"/>
  <c r="N12" i="10" a="1"/>
  <c r="N12" i="10" s="1"/>
  <c r="N17" i="10" a="1"/>
  <c r="N17" i="10" s="1"/>
  <c r="N12" i="11" a="1"/>
  <c r="N12" i="11" s="1"/>
  <c r="N8" i="12" a="1"/>
  <c r="N8" i="12" s="1"/>
  <c r="N11" i="12" a="1"/>
  <c r="N11" i="12" s="1"/>
  <c r="N16" i="13" a="1"/>
  <c r="N16" i="13" s="1"/>
  <c r="A19" i="1"/>
  <c r="A56" i="1"/>
  <c r="A17" i="1"/>
  <c r="A40" i="1"/>
  <c r="A53" i="1"/>
  <c r="D7" i="2"/>
  <c r="N21" i="2" a="1"/>
  <c r="N21" i="2" s="1"/>
  <c r="D6" i="3"/>
  <c r="D8" i="3"/>
  <c r="D20" i="3"/>
  <c r="N7" i="5" a="1"/>
  <c r="N7" i="5" s="1"/>
  <c r="N9" i="5" a="1"/>
  <c r="N9" i="5" s="1"/>
  <c r="N14" i="5" a="1"/>
  <c r="N14" i="5" s="1"/>
  <c r="N23" i="5" a="1"/>
  <c r="N23" i="5" s="1"/>
  <c r="N25" i="5" a="1"/>
  <c r="N25" i="5" s="1"/>
  <c r="N19" i="6" a="1"/>
  <c r="N19" i="6" s="1"/>
  <c r="N4" i="7" a="1"/>
  <c r="N4" i="7" s="1"/>
  <c r="N15" i="7" a="1"/>
  <c r="N15" i="7" s="1"/>
  <c r="N20" i="7" a="1"/>
  <c r="N20" i="7" s="1"/>
  <c r="N4" i="8" a="1"/>
  <c r="N4" i="8" s="1"/>
  <c r="N9" i="8" a="1"/>
  <c r="N9" i="8" s="1"/>
  <c r="N9" i="9" a="1"/>
  <c r="N9" i="9" s="1"/>
  <c r="N15" i="10" a="1"/>
  <c r="N15" i="10" s="1"/>
  <c r="N5" i="11" a="1"/>
  <c r="N5" i="11" s="1"/>
  <c r="N10" i="11" a="1"/>
  <c r="N10" i="11" s="1"/>
  <c r="N21" i="11" a="1"/>
  <c r="N21" i="11" s="1"/>
  <c r="N18" i="12" a="1"/>
  <c r="N18" i="12" s="1"/>
  <c r="N9" i="13" a="1"/>
  <c r="N9" i="13" s="1"/>
  <c r="N14" i="13" a="1"/>
  <c r="N14" i="13" s="1"/>
  <c r="N25" i="13" a="1"/>
  <c r="N25" i="13" s="1"/>
  <c r="D8" i="4"/>
  <c r="D21" i="3"/>
  <c r="D13" i="3"/>
  <c r="D7" i="3"/>
  <c r="D4" i="2"/>
  <c r="N93" i="17"/>
  <c r="N91" i="17"/>
  <c r="N89" i="17"/>
  <c r="D19" i="4"/>
  <c r="B19" i="4" s="1"/>
  <c r="D29" i="4"/>
  <c r="D9" i="4"/>
  <c r="D22" i="3"/>
  <c r="D14" i="3"/>
  <c r="D5" i="5"/>
  <c r="D21" i="4"/>
  <c r="B21" i="4" s="1"/>
  <c r="D15" i="4"/>
  <c r="D12" i="4"/>
  <c r="D4" i="4"/>
  <c r="D17" i="3"/>
  <c r="D11" i="3"/>
  <c r="D11" i="2"/>
  <c r="D8" i="2"/>
  <c r="N94" i="17"/>
  <c r="N92" i="17"/>
  <c r="N90" i="17"/>
  <c r="N88" i="17"/>
  <c r="D20" i="4"/>
  <c r="B20" i="4" s="1"/>
  <c r="D16" i="4"/>
  <c r="D5" i="4"/>
  <c r="D18" i="3"/>
  <c r="D4" i="3"/>
  <c r="D18" i="2"/>
  <c r="D12" i="2"/>
  <c r="N78" i="17"/>
  <c r="N80" i="17"/>
  <c r="N82" i="17"/>
  <c r="N84" i="17"/>
  <c r="N86" i="17"/>
  <c r="N22" i="2" a="1"/>
  <c r="N22" i="2" s="1"/>
  <c r="D6" i="4"/>
  <c r="N10" i="5" a="1"/>
  <c r="N10" i="5" s="1"/>
  <c r="N21" i="5" a="1"/>
  <c r="N21" i="5" s="1"/>
  <c r="N26" i="5" a="1"/>
  <c r="N26" i="5" s="1"/>
  <c r="N15" i="6" a="1"/>
  <c r="N15" i="6" s="1"/>
  <c r="N9" i="7" a="1"/>
  <c r="N9" i="7" s="1"/>
  <c r="N11" i="7" a="1"/>
  <c r="N11" i="7" s="1"/>
  <c r="N16" i="7" a="1"/>
  <c r="N16" i="7" s="1"/>
  <c r="N25" i="7" a="1"/>
  <c r="N25" i="7" s="1"/>
  <c r="N27" i="7" a="1"/>
  <c r="N27" i="7" s="1"/>
  <c r="N5" i="8" a="1"/>
  <c r="N5" i="8" s="1"/>
  <c r="N14" i="8" a="1"/>
  <c r="N14" i="8" s="1"/>
  <c r="N5" i="9" a="1"/>
  <c r="N5" i="9" s="1"/>
  <c r="N11" i="10" a="1"/>
  <c r="N11" i="10" s="1"/>
  <c r="N6" i="11" a="1"/>
  <c r="N6" i="11" s="1"/>
  <c r="N17" i="11" a="1"/>
  <c r="N17" i="11" s="1"/>
  <c r="N22" i="11" a="1"/>
  <c r="N22" i="11" s="1"/>
  <c r="N7" i="12" a="1"/>
  <c r="N7" i="12" s="1"/>
  <c r="N14" i="12" a="1"/>
  <c r="N14" i="12" s="1"/>
  <c r="N19" i="12" a="1"/>
  <c r="N19" i="12" s="1"/>
  <c r="N10" i="13" a="1"/>
  <c r="N10" i="13" s="1"/>
  <c r="N21" i="13" a="1"/>
  <c r="N21" i="13" s="1"/>
  <c r="N26" i="13" a="1"/>
  <c r="N26" i="13" s="1"/>
  <c r="A10" i="1"/>
  <c r="A46" i="1"/>
  <c r="A65" i="1"/>
  <c r="D10" i="2"/>
  <c r="D14" i="2"/>
  <c r="D9" i="3"/>
  <c r="N25" i="3" a="1"/>
  <c r="N25" i="3" s="1"/>
  <c r="D14" i="4"/>
  <c r="N8" i="5" a="1"/>
  <c r="N8" i="5" s="1"/>
  <c r="N24" i="5" a="1"/>
  <c r="N24" i="5" s="1"/>
  <c r="N6" i="6" a="1"/>
  <c r="N6" i="6" s="1"/>
  <c r="N8" i="6" a="1"/>
  <c r="N8" i="6" s="1"/>
  <c r="N13" i="6" a="1"/>
  <c r="N13" i="6" s="1"/>
  <c r="N22" i="6" a="1"/>
  <c r="N22" i="6" s="1"/>
  <c r="N24" i="6" a="1"/>
  <c r="N24" i="6" s="1"/>
  <c r="N14" i="7" a="1"/>
  <c r="N14" i="7" s="1"/>
  <c r="N30" i="7" a="1"/>
  <c r="N30" i="7" s="1"/>
  <c r="N8" i="9" a="1"/>
  <c r="N8" i="9" s="1"/>
  <c r="N4" i="10" a="1"/>
  <c r="N4" i="10" s="1"/>
  <c r="N9" i="10" a="1"/>
  <c r="N9" i="10" s="1"/>
  <c r="N20" i="10" a="1"/>
  <c r="N20" i="10" s="1"/>
  <c r="N4" i="11" a="1"/>
  <c r="N4" i="11" s="1"/>
  <c r="N20" i="11" a="1"/>
  <c r="N20" i="11" s="1"/>
  <c r="N5" i="12" a="1"/>
  <c r="N5" i="12" s="1"/>
  <c r="N17" i="12" a="1"/>
  <c r="N17" i="12" s="1"/>
  <c r="N8" i="13" a="1"/>
  <c r="N8" i="13" s="1"/>
  <c r="N24" i="13" a="1"/>
  <c r="N24" i="13" s="1"/>
  <c r="D28" i="4"/>
  <c r="N30" i="13" a="1"/>
  <c r="N30" i="13" s="1"/>
  <c r="A8" i="1"/>
  <c r="A36" i="1"/>
  <c r="D6" i="2"/>
  <c r="D16" i="3"/>
  <c r="D17" i="4"/>
  <c r="D26" i="4"/>
  <c r="B26" i="4" s="1"/>
  <c r="N6" i="5" a="1"/>
  <c r="N6" i="5" s="1"/>
  <c r="N15" i="5" a="1"/>
  <c r="N15" i="5" s="1"/>
  <c r="N17" i="5" a="1"/>
  <c r="N17" i="5" s="1"/>
  <c r="N22" i="5" a="1"/>
  <c r="N22" i="5" s="1"/>
  <c r="N11" i="6" a="1"/>
  <c r="N11" i="6" s="1"/>
  <c r="N27" i="6" a="1"/>
  <c r="N27" i="6" s="1"/>
  <c r="N7" i="7" a="1"/>
  <c r="N7" i="7" s="1"/>
  <c r="N12" i="7" a="1"/>
  <c r="N12" i="7" s="1"/>
  <c r="N23" i="7" a="1"/>
  <c r="N23" i="7" s="1"/>
  <c r="N28" i="7" a="1"/>
  <c r="N28" i="7" s="1"/>
  <c r="N12" i="8" a="1"/>
  <c r="N12" i="8" s="1"/>
  <c r="N6" i="9" a="1"/>
  <c r="N6" i="9" s="1"/>
  <c r="N7" i="10" a="1"/>
  <c r="N7" i="10" s="1"/>
  <c r="N13" i="11" a="1"/>
  <c r="N13" i="11" s="1"/>
  <c r="N18" i="11" a="1"/>
  <c r="N18" i="11" s="1"/>
  <c r="N15" i="12" a="1"/>
  <c r="N15" i="12" s="1"/>
  <c r="N22" i="13" a="1"/>
  <c r="N22" i="13" s="1"/>
  <c r="N15" i="3" a="1"/>
  <c r="N15" i="3" s="1"/>
  <c r="B15" i="3"/>
  <c r="A6" i="1"/>
  <c r="A31" i="1"/>
  <c r="A60" i="1"/>
  <c r="N19" i="2" a="1"/>
  <c r="N19" i="2" s="1"/>
  <c r="D5" i="3"/>
  <c r="D19" i="3"/>
  <c r="D7" i="4"/>
  <c r="D22" i="4"/>
  <c r="B22" i="4" s="1"/>
  <c r="N20" i="5" a="1"/>
  <c r="N20" i="5" s="1"/>
  <c r="N4" i="6" a="1"/>
  <c r="N4" i="6" s="1"/>
  <c r="N9" i="6" a="1"/>
  <c r="N9" i="6" s="1"/>
  <c r="N20" i="6" a="1"/>
  <c r="N20" i="6" s="1"/>
  <c r="N25" i="6" a="1"/>
  <c r="N25" i="6" s="1"/>
  <c r="N10" i="7" a="1"/>
  <c r="N10" i="7" s="1"/>
  <c r="N26" i="7" a="1"/>
  <c r="N26" i="7" s="1"/>
  <c r="N15" i="8" a="1"/>
  <c r="N15" i="8" s="1"/>
  <c r="N5" i="10" a="1"/>
  <c r="N5" i="10" s="1"/>
  <c r="N16" i="11" a="1"/>
  <c r="N16" i="11" s="1"/>
  <c r="N13" i="12" a="1"/>
  <c r="N13" i="12" s="1"/>
  <c r="N25" i="12" a="1"/>
  <c r="N25" i="12" s="1"/>
  <c r="N6" i="13" a="1"/>
  <c r="N6" i="13" s="1"/>
  <c r="N20" i="13" a="1"/>
  <c r="N20" i="13" s="1"/>
  <c r="N27" i="13" a="1"/>
  <c r="N27" i="13" s="1"/>
  <c r="N19" i="13" a="1"/>
  <c r="N19" i="13" s="1"/>
  <c r="N11" i="13" a="1"/>
  <c r="N11" i="13" s="1"/>
  <c r="N24" i="12" a="1"/>
  <c r="N24" i="12" s="1"/>
  <c r="N22" i="12" a="1"/>
  <c r="N22" i="12" s="1"/>
  <c r="N20" i="12" a="1"/>
  <c r="N20" i="12" s="1"/>
  <c r="N6" i="12" a="1"/>
  <c r="N6" i="12" s="1"/>
  <c r="N23" i="11" a="1"/>
  <c r="N23" i="11" s="1"/>
  <c r="N15" i="11" a="1"/>
  <c r="N15" i="11" s="1"/>
  <c r="N7" i="11" a="1"/>
  <c r="N7" i="11" s="1"/>
  <c r="N14" i="10" a="1"/>
  <c r="N14" i="10" s="1"/>
  <c r="N6" i="10" a="1"/>
  <c r="N6" i="10" s="1"/>
  <c r="N7" i="9" a="1"/>
  <c r="N7" i="9" s="1"/>
  <c r="N10" i="8" a="1"/>
  <c r="N10" i="8" s="1"/>
  <c r="N29" i="7" a="1"/>
  <c r="N29" i="7" s="1"/>
  <c r="N21" i="7" a="1"/>
  <c r="N21" i="7" s="1"/>
  <c r="N13" i="7" a="1"/>
  <c r="N13" i="7" s="1"/>
  <c r="N5" i="7" a="1"/>
  <c r="N5" i="7" s="1"/>
  <c r="N26" i="6" a="1"/>
  <c r="N26" i="6" s="1"/>
  <c r="N18" i="6" a="1"/>
  <c r="N18" i="6" s="1"/>
  <c r="N10" i="6" a="1"/>
  <c r="N10" i="6" s="1"/>
  <c r="N27" i="5" a="1"/>
  <c r="N27" i="5" s="1"/>
  <c r="N19" i="5" a="1"/>
  <c r="N19" i="5" s="1"/>
  <c r="N11" i="5" a="1"/>
  <c r="N11" i="5" s="1"/>
  <c r="N26" i="3" a="1"/>
  <c r="N26" i="3" s="1"/>
  <c r="N19" i="11" a="1"/>
  <c r="N19" i="11" s="1"/>
  <c r="N11" i="11" a="1"/>
  <c r="N11" i="11" s="1"/>
  <c r="N18" i="10" a="1"/>
  <c r="N18" i="10" s="1"/>
  <c r="N10" i="10" a="1"/>
  <c r="N10" i="10" s="1"/>
  <c r="N79" i="17"/>
  <c r="N81" i="17"/>
  <c r="N83" i="17"/>
  <c r="N85" i="17"/>
  <c r="N87" i="17"/>
  <c r="N16" i="12" a="1"/>
  <c r="N16" i="12" s="1"/>
  <c r="N5" i="13" a="1"/>
  <c r="N5" i="13" s="1"/>
  <c r="N15" i="13" a="1"/>
  <c r="N15" i="13" s="1"/>
  <c r="N23" i="13" a="1"/>
  <c r="N23" i="13" s="1"/>
  <c r="D23" i="4"/>
  <c r="B23" i="4" s="1"/>
  <c r="D30" i="4"/>
  <c r="N110" i="17"/>
  <c r="N95" i="17"/>
  <c r="D25" i="4"/>
  <c r="B25" i="4" s="1"/>
  <c r="D56" i="18" l="1"/>
  <c r="C56" i="18"/>
  <c r="D10" i="18"/>
  <c r="C10" i="18"/>
  <c r="B11" i="4"/>
  <c r="N17" i="2" a="1"/>
  <c r="N17" i="2" s="1"/>
  <c r="N12" i="3" a="1"/>
  <c r="N12" i="3" s="1"/>
  <c r="B23" i="3"/>
  <c r="B10" i="4"/>
  <c r="N13" i="2" a="1"/>
  <c r="N13" i="2" s="1"/>
  <c r="B5" i="2"/>
  <c r="N15" i="2" a="1"/>
  <c r="N15" i="2" s="1"/>
  <c r="N9" i="2" a="1"/>
  <c r="N9" i="2" s="1"/>
  <c r="B13" i="4"/>
  <c r="N4" i="5" a="1"/>
  <c r="N4" i="5" s="1"/>
  <c r="N16" i="2" a="1"/>
  <c r="N16" i="2" s="1"/>
  <c r="B16" i="2"/>
  <c r="N10" i="3" a="1"/>
  <c r="N10" i="3" s="1"/>
  <c r="B10" i="3"/>
  <c r="N14" i="2" a="1"/>
  <c r="N14" i="2" s="1"/>
  <c r="B14" i="2"/>
  <c r="M30" i="4" a="1"/>
  <c r="M30" i="4" s="1"/>
  <c r="B30" i="4"/>
  <c r="B19" i="3"/>
  <c r="N19" i="3" a="1"/>
  <c r="N19" i="3" s="1"/>
  <c r="N5" i="3" a="1"/>
  <c r="N5" i="3" s="1"/>
  <c r="B5" i="3"/>
  <c r="B16" i="3"/>
  <c r="N16" i="3" a="1"/>
  <c r="N16" i="3" s="1"/>
  <c r="B6" i="2"/>
  <c r="N6" i="2" a="1"/>
  <c r="N6" i="2" s="1"/>
  <c r="N14" i="4" a="1"/>
  <c r="N14" i="4" s="1"/>
  <c r="B14" i="4"/>
  <c r="B18" i="2"/>
  <c r="N18" i="2" a="1"/>
  <c r="N18" i="2" s="1"/>
  <c r="N15" i="4" a="1"/>
  <c r="N15" i="4" s="1"/>
  <c r="B15" i="4"/>
  <c r="B4" i="3"/>
  <c r="N4" i="3" a="1"/>
  <c r="N4" i="3" s="1"/>
  <c r="N20" i="3" a="1"/>
  <c r="N20" i="3" s="1"/>
  <c r="B20" i="3"/>
  <c r="B18" i="3"/>
  <c r="N18" i="3" a="1"/>
  <c r="N18" i="3" s="1"/>
  <c r="N8" i="2" a="1"/>
  <c r="N8" i="2" s="1"/>
  <c r="B8" i="2"/>
  <c r="N5" i="5" a="1"/>
  <c r="N5" i="5" s="1"/>
  <c r="B5" i="5"/>
  <c r="N8" i="3" a="1"/>
  <c r="N8" i="3" s="1"/>
  <c r="B8" i="3"/>
  <c r="B5" i="4"/>
  <c r="N5" i="4" a="1"/>
  <c r="N5" i="4" s="1"/>
  <c r="N11" i="2" a="1"/>
  <c r="N11" i="2" s="1"/>
  <c r="B11" i="2"/>
  <c r="N14" i="3" a="1"/>
  <c r="N14" i="3" s="1"/>
  <c r="B14" i="3"/>
  <c r="B4" i="2"/>
  <c r="N4" i="2" a="1"/>
  <c r="N4" i="2" s="1"/>
  <c r="N6" i="3" a="1"/>
  <c r="N6" i="3" s="1"/>
  <c r="B6" i="3"/>
  <c r="B7" i="4"/>
  <c r="N7" i="4" a="1"/>
  <c r="N7" i="4" s="1"/>
  <c r="M28" i="4" a="1"/>
  <c r="M28" i="4" s="1"/>
  <c r="B28" i="4"/>
  <c r="N10" i="2" a="1"/>
  <c r="N10" i="2" s="1"/>
  <c r="B10" i="2"/>
  <c r="B16" i="4"/>
  <c r="N16" i="4" a="1"/>
  <c r="N16" i="4" s="1"/>
  <c r="N11" i="3" a="1"/>
  <c r="N11" i="3" s="1"/>
  <c r="B11" i="3"/>
  <c r="N22" i="3" a="1"/>
  <c r="N22" i="3" s="1"/>
  <c r="B22" i="3"/>
  <c r="B7" i="3"/>
  <c r="N7" i="3" a="1"/>
  <c r="N7" i="3" s="1"/>
  <c r="N17" i="3" a="1"/>
  <c r="N17" i="3" s="1"/>
  <c r="B17" i="3"/>
  <c r="N9" i="4" a="1"/>
  <c r="N9" i="4" s="1"/>
  <c r="B9" i="4"/>
  <c r="B13" i="3"/>
  <c r="N13" i="3" a="1"/>
  <c r="N13" i="3" s="1"/>
  <c r="B9" i="3"/>
  <c r="N9" i="3" a="1"/>
  <c r="N9" i="3" s="1"/>
  <c r="B17" i="4"/>
  <c r="N17" i="4" a="1"/>
  <c r="N17" i="4" s="1"/>
  <c r="B4" i="4"/>
  <c r="N4" i="4" a="1"/>
  <c r="N4" i="4" s="1"/>
  <c r="M29" i="4" a="1"/>
  <c r="M29" i="4" s="1"/>
  <c r="B29" i="4"/>
  <c r="B21" i="3"/>
  <c r="N21" i="3" a="1"/>
  <c r="N21" i="3" s="1"/>
  <c r="N7" i="2" a="1"/>
  <c r="N7" i="2" s="1"/>
  <c r="B7" i="2"/>
  <c r="B6" i="4"/>
  <c r="N6" i="4" a="1"/>
  <c r="N6" i="4" s="1"/>
  <c r="B12" i="2"/>
  <c r="N12" i="2" a="1"/>
  <c r="N12" i="2" s="1"/>
  <c r="N12" i="4" a="1"/>
  <c r="N12" i="4" s="1"/>
  <c r="B12" i="4"/>
  <c r="N8" i="4" a="1"/>
  <c r="N8" i="4" s="1"/>
  <c r="B8" i="4"/>
</calcChain>
</file>

<file path=xl/sharedStrings.xml><?xml version="1.0" encoding="utf-8"?>
<sst xmlns="http://schemas.openxmlformats.org/spreadsheetml/2006/main" count="1509" uniqueCount="601">
  <si>
    <t>CONTRATO</t>
  </si>
  <si>
    <t>MES</t>
  </si>
  <si>
    <t>VISITADOR</t>
  </si>
  <si>
    <t>CENTRO</t>
  </si>
  <si>
    <t>COD.CONTRATO</t>
  </si>
  <si>
    <t>ORL</t>
  </si>
  <si>
    <t>ACCION MKT</t>
  </si>
  <si>
    <t>CATEGORÍAS</t>
  </si>
  <si>
    <t>FECHA P/</t>
  </si>
  <si>
    <t>FECHA PAGO</t>
  </si>
  <si>
    <t>IMPORTE</t>
  </si>
  <si>
    <t>EMPRESA</t>
  </si>
  <si>
    <t>OBSERVACIONES</t>
  </si>
  <si>
    <t>Codigo medico</t>
  </si>
  <si>
    <t xml:space="preserve"> </t>
  </si>
  <si>
    <t>PETICIONES ORL 2026</t>
  </si>
  <si>
    <t>FECHA PETICION</t>
  </si>
  <si>
    <t>Jerez de la Frontera</t>
  </si>
  <si>
    <t>Maria Del Carmen Salom Coveñas</t>
  </si>
  <si>
    <t>PATROCINIO</t>
  </si>
  <si>
    <t>Publicidad</t>
  </si>
  <si>
    <t>Getafe</t>
  </si>
  <si>
    <t>María Garrote Garrote</t>
  </si>
  <si>
    <t>AIRBNB</t>
  </si>
  <si>
    <t>Alojamiento</t>
  </si>
  <si>
    <t>Fuenlabrada</t>
  </si>
  <si>
    <t>Paloma Martín-Aragón Martín</t>
  </si>
  <si>
    <t>INSCRIPCION CURSO MICROCIRUGIA</t>
  </si>
  <si>
    <t>Inscripción</t>
  </si>
  <si>
    <t>Elisabeth Amarillo Espitia</t>
  </si>
  <si>
    <t>Madrid- Canillas</t>
  </si>
  <si>
    <t>José Gustavo Barroso Braojos</t>
  </si>
  <si>
    <t>2 SMARTWATCH</t>
  </si>
  <si>
    <t>Material para centro</t>
  </si>
  <si>
    <t>Sevilla- Montoto</t>
  </si>
  <si>
    <t>David Castro Gutiérrez de Agüero</t>
  </si>
  <si>
    <t>IPHONE17 PRO</t>
  </si>
  <si>
    <t>Torrejón De Ardoz</t>
  </si>
  <si>
    <t>Lorena Sanz López</t>
  </si>
  <si>
    <t>INSCRIPCION, VUELO Y HOTEL-MAYOR IMPORTE DICBRE.</t>
  </si>
  <si>
    <t>Madrid- La Oca</t>
  </si>
  <si>
    <t>José Joaquín Gutiérrez Barquín</t>
  </si>
  <si>
    <t>MESA</t>
  </si>
  <si>
    <t>Mobiliario</t>
  </si>
  <si>
    <t>Cristina García García</t>
  </si>
  <si>
    <t>CURSO 2</t>
  </si>
  <si>
    <t>CURSO 1</t>
  </si>
  <si>
    <t>Madrid- Juan Bravo</t>
  </si>
  <si>
    <t>Roberto Sanz Garzón</t>
  </si>
  <si>
    <t>CURSO</t>
  </si>
  <si>
    <t>Logroño</t>
  </si>
  <si>
    <t>Cristina Ibañez Muñoz</t>
  </si>
  <si>
    <t>CONGRESO ATENAS</t>
  </si>
  <si>
    <t>Congreso internacional personal</t>
  </si>
  <si>
    <t>El Albir (Benidorm)</t>
  </si>
  <si>
    <t>María Emilia García Ruiz</t>
  </si>
  <si>
    <t xml:space="preserve">IPHONE17 </t>
  </si>
  <si>
    <t>Abel Bogoya Castaño</t>
  </si>
  <si>
    <t>Valencia- Cadiz</t>
  </si>
  <si>
    <t>Elena González Turienzo</t>
  </si>
  <si>
    <t>Julie Múñoz Freitez</t>
  </si>
  <si>
    <t>María Estefanía Hernández García</t>
  </si>
  <si>
    <t>Valencia- Parra</t>
  </si>
  <si>
    <t>Jean Franco Intraprendente Martini</t>
  </si>
  <si>
    <t>APPLEWATCH</t>
  </si>
  <si>
    <t>José María Laborda Margolles</t>
  </si>
  <si>
    <t>VIAJE A TANZANIA</t>
  </si>
  <si>
    <t>Congreso internacional</t>
  </si>
  <si>
    <t>PAGADO POR EL</t>
  </si>
  <si>
    <t>Carmen Delgado Muñoz</t>
  </si>
  <si>
    <t>IPHONE15</t>
  </si>
  <si>
    <t>Alcorcón</t>
  </si>
  <si>
    <t>José Miguel Aparicio Fernández</t>
  </si>
  <si>
    <t>CURSO PARA R4 TERESA CONDE GOMEZ-MENOR</t>
  </si>
  <si>
    <t>Isabel Polo Tomás</t>
  </si>
  <si>
    <t>TRASLADO TREN</t>
  </si>
  <si>
    <t>Traslado</t>
  </si>
  <si>
    <t>Gerardo Monedero Rodrigo</t>
  </si>
  <si>
    <t>Beatriz Santos Duque</t>
  </si>
  <si>
    <t>Miguel Rodriguez Pérez</t>
  </si>
  <si>
    <t>ESTANCIA HOTEL</t>
  </si>
  <si>
    <t xml:space="preserve">TRASLADO   </t>
  </si>
  <si>
    <t>Oscar A, Sánchez Valenzuela</t>
  </si>
  <si>
    <t>MACBOOK PRO</t>
  </si>
  <si>
    <t>PATROCINIO-VIAJE ISLANDIA</t>
  </si>
  <si>
    <t>Daniel Rodríguez Ocaña</t>
  </si>
  <si>
    <t>Raquel de Lama Bermejo</t>
  </si>
  <si>
    <t>VIAJE A JAPON</t>
  </si>
  <si>
    <t>Daniela Carrillo Moreno</t>
  </si>
  <si>
    <t>Orihuela</t>
  </si>
  <si>
    <t>Carlos Velásquez Fermín</t>
  </si>
  <si>
    <t>CERRAMIENTO</t>
  </si>
  <si>
    <t>Obras acondicionamiento centro</t>
  </si>
  <si>
    <t>Murcia</t>
  </si>
  <si>
    <t>Enrique López Meseguer</t>
  </si>
  <si>
    <t>VIAJE A JORDANIA</t>
  </si>
  <si>
    <t>HOTEL EN MADRID</t>
  </si>
  <si>
    <t>San Javier</t>
  </si>
  <si>
    <t>Ángel Onofre Pérez Coll</t>
  </si>
  <si>
    <t>INSCRIPCION CURSO RINOPLASTIA</t>
  </si>
  <si>
    <t>Daniel Briones Crespo</t>
  </si>
  <si>
    <t>VIAJE CONGRESO ATENAS</t>
  </si>
  <si>
    <t>Alojamiento y traslado</t>
  </si>
  <si>
    <t>CAMARA ACCION PARA ISLANDIA</t>
  </si>
  <si>
    <t>KIT BICICLETA PARA ISLANDIA</t>
  </si>
  <si>
    <t>CARCASA BUCEO PARA ISLANDIA</t>
  </si>
  <si>
    <t>PRISMATICOS PARA ISLANDIA</t>
  </si>
  <si>
    <t>LINTERNA PARA ISLANDIA</t>
  </si>
  <si>
    <t>ESTUCHE LAPICES COLORES X 2</t>
  </si>
  <si>
    <t>Cristina Vaduva</t>
  </si>
  <si>
    <t>ALQUILER PIEZO ELECTRICO</t>
  </si>
  <si>
    <t>Juan Javier Álvarez López</t>
  </si>
  <si>
    <t>IPHONE 17 PRO MAX 512 GB AZUL OSCURO</t>
  </si>
  <si>
    <t>ASPIRADOR ESCOBA</t>
  </si>
  <si>
    <t>Manuel Tucciarone</t>
  </si>
  <si>
    <t>Marina Pérez Grau</t>
  </si>
  <si>
    <t>CURSO RINOPLASTIA</t>
  </si>
  <si>
    <t>Alicante</t>
  </si>
  <si>
    <t>Karen Rojas Crespo</t>
  </si>
  <si>
    <t>Miguel Garikoitz Calzada Uriondo</t>
  </si>
  <si>
    <t>ESTANCIA EN CHICLANA</t>
  </si>
  <si>
    <t>ENTRADAS CIRCO SOL</t>
  </si>
  <si>
    <t>HOTEL Y AVION</t>
  </si>
  <si>
    <t>Estefanía Berrocal Postigo</t>
  </si>
  <si>
    <t>REUNION OTORRINOS EN REPUBLICA DOMINICANA</t>
  </si>
  <si>
    <t>Ainhoa García-Lliberos de Miguel</t>
  </si>
  <si>
    <t>INSCRIPION CONGRESO</t>
  </si>
  <si>
    <t>TRASLADO</t>
  </si>
  <si>
    <t>VIAJE CAMINO SANTIAGO-DEPOSITO DEL 20%</t>
  </si>
  <si>
    <t>Congreso nacional personal</t>
  </si>
  <si>
    <t>MBM231</t>
  </si>
  <si>
    <t>Itziar Jimenez Gomez</t>
  </si>
  <si>
    <t>Carlos Barajas Del Rosal</t>
  </si>
  <si>
    <t>COSTES DE EMPLEADA-ENERO</t>
  </si>
  <si>
    <t>Gastos de personal</t>
  </si>
  <si>
    <t>COSTES DE EMPLEADA-FEBRERO</t>
  </si>
  <si>
    <t>COSTES DE EMPLEADA-MARZO</t>
  </si>
  <si>
    <t>TV+SOPORTE</t>
  </si>
  <si>
    <t>PORTATIL MEDIA MARKT</t>
  </si>
  <si>
    <t>Clínica</t>
  </si>
  <si>
    <t>SUM of IMPORTE</t>
  </si>
  <si>
    <t>Total Alicante</t>
  </si>
  <si>
    <t/>
  </si>
  <si>
    <t>Total Clínica</t>
  </si>
  <si>
    <t>ISL104</t>
  </si>
  <si>
    <t>ISL54</t>
  </si>
  <si>
    <t>RFV38</t>
  </si>
  <si>
    <t>Total El Albir (Benidorm)</t>
  </si>
  <si>
    <t>Total Orihuela</t>
  </si>
  <si>
    <t>RFV26</t>
  </si>
  <si>
    <t>RFV48</t>
  </si>
  <si>
    <t>Total Valencia- Cadiz</t>
  </si>
  <si>
    <t>ISL14</t>
  </si>
  <si>
    <t>Total ISL14</t>
  </si>
  <si>
    <t>Total Abel Bogoya Castaño</t>
  </si>
  <si>
    <t>Total Ainhoa García-Lliberos de Miguel</t>
  </si>
  <si>
    <t>Total Ángel Onofre Pérez Coll</t>
  </si>
  <si>
    <t>Total Beatriz Santos Duque</t>
  </si>
  <si>
    <t>Total Carlos Barajas Del Rosal</t>
  </si>
  <si>
    <t>Total Carlos Velásquez Fermín</t>
  </si>
  <si>
    <t>Total Carmen Delgado Muñoz</t>
  </si>
  <si>
    <t>Total Cristina García García</t>
  </si>
  <si>
    <t>Total Cristina Ibañez Muñoz</t>
  </si>
  <si>
    <t>Total Cristina Vaduva</t>
  </si>
  <si>
    <t>Total Daniel Briones Crespo</t>
  </si>
  <si>
    <t>Total Daniel Rodríguez Ocaña</t>
  </si>
  <si>
    <t>Total Daniela Carrillo Moreno</t>
  </si>
  <si>
    <t>Total David Castro Gutiérrez de Agüero</t>
  </si>
  <si>
    <t>Total Elena González Turienzo</t>
  </si>
  <si>
    <t>Total Elisabeth Amarillo Espitia</t>
  </si>
  <si>
    <t>Total Enrique López Meseguer</t>
  </si>
  <si>
    <t>Total Estefanía Berrocal Postigo</t>
  </si>
  <si>
    <t>Total Gerardo Monedero Rodrigo</t>
  </si>
  <si>
    <t>Total Isabel Polo Tomás</t>
  </si>
  <si>
    <t>Total Itziar Jimenez Gomez</t>
  </si>
  <si>
    <t>Total Jean Franco Intraprendente Martini</t>
  </si>
  <si>
    <t>Total José Gustavo Barroso Braojos</t>
  </si>
  <si>
    <t>Total José Joaquín Gutiérrez Barquín</t>
  </si>
  <si>
    <t>Total José María Laborda Margolles</t>
  </si>
  <si>
    <t>Total José Miguel Aparicio Fernández</t>
  </si>
  <si>
    <t>Total Juan Javier Álvarez López</t>
  </si>
  <si>
    <t>Total Julie Múñoz Freitez</t>
  </si>
  <si>
    <t>Total Karen Rojas Crespo</t>
  </si>
  <si>
    <t>Total Lorena Sanz López</t>
  </si>
  <si>
    <t>Total Manuel Tucciarone</t>
  </si>
  <si>
    <t>Total Maria Del Carmen Salom Coveñas</t>
  </si>
  <si>
    <t>Total María Emilia García Ruiz</t>
  </si>
  <si>
    <t>Total María Estefanía Hernández García</t>
  </si>
  <si>
    <t>Total María Garrote Garrote</t>
  </si>
  <si>
    <t>Total Marina Pérez Grau</t>
  </si>
  <si>
    <t>Total Miguel Garikoitz Calzada Uriondo</t>
  </si>
  <si>
    <t>Total Miguel Rodriguez Pérez</t>
  </si>
  <si>
    <t>Total Oscar A, Sánchez Valenzuela</t>
  </si>
  <si>
    <t>Total Paloma Martín-Aragón Martín</t>
  </si>
  <si>
    <t>Total Raquel de Lama Bermejo</t>
  </si>
  <si>
    <t>Total Roberto Sanz Garzón</t>
  </si>
  <si>
    <t>centro</t>
  </si>
  <si>
    <t>Empresa</t>
  </si>
  <si>
    <t>nombre compoloeto</t>
  </si>
  <si>
    <t>código</t>
  </si>
  <si>
    <t>CONTRATOS</t>
  </si>
  <si>
    <t>Albacete</t>
  </si>
  <si>
    <t>AUDICANTE</t>
  </si>
  <si>
    <t>ADOLFO TOLEDANO</t>
  </si>
  <si>
    <t>Adolfo Toledano Muñoz</t>
  </si>
  <si>
    <t>MBM01</t>
  </si>
  <si>
    <t>CLINICA DOS DE MAYO </t>
  </si>
  <si>
    <t>ALBA MOLINA MORENO</t>
  </si>
  <si>
    <t>Alba Molina Moreno</t>
  </si>
  <si>
    <t>ISL84</t>
  </si>
  <si>
    <t>ALBERTO RAPOSO</t>
  </si>
  <si>
    <t>Alberto Raposo Jiménez</t>
  </si>
  <si>
    <t>ISL01</t>
  </si>
  <si>
    <t>Almería</t>
  </si>
  <si>
    <t>AUDICOST, S.L.U</t>
  </si>
  <si>
    <t>ALBERTO TAUSTE</t>
  </si>
  <si>
    <t>Alberto Tauste Gómez</t>
  </si>
  <si>
    <t>MBM02</t>
  </si>
  <si>
    <t>Badajoz</t>
  </si>
  <si>
    <t>CENTRO OPTICO RODRIGUEZ VIÑALS, S.L</t>
  </si>
  <si>
    <t>ALEJANDRA JARA</t>
  </si>
  <si>
    <t>Alejandra Jara Maquilón</t>
  </si>
  <si>
    <t>ISL91</t>
  </si>
  <si>
    <t>Equipos informaticos</t>
  </si>
  <si>
    <t>Córcega</t>
  </si>
  <si>
    <t>Barcelona- Córcega</t>
  </si>
  <si>
    <t>INVERSIONS DEL BAIX </t>
  </si>
  <si>
    <t>ALEJANDRO DIAZ UÑA</t>
  </si>
  <si>
    <t>Alejandro Díaz Uña</t>
  </si>
  <si>
    <t>RPG01</t>
  </si>
  <si>
    <t>Gasto de representación</t>
  </si>
  <si>
    <t>Fabra</t>
  </si>
  <si>
    <t>Barcelona- Fabra I Puig</t>
  </si>
  <si>
    <t>ANA G. JOVER</t>
  </si>
  <si>
    <t>Ana Gabriela Jover Espla</t>
  </si>
  <si>
    <t>ISL89</t>
  </si>
  <si>
    <t>Boiro</t>
  </si>
  <si>
    <t>AUDIBOISALNES, S.L.</t>
  </si>
  <si>
    <t>ANA QUINTANA SANJUAS</t>
  </si>
  <si>
    <t>Ana Quintana Sanjuan</t>
  </si>
  <si>
    <t>RPG37</t>
  </si>
  <si>
    <t>Caceres</t>
  </si>
  <si>
    <t>FLORENCIO AYUSO SANCHEZ</t>
  </si>
  <si>
    <t>ANASTASIA AVDIYUC</t>
  </si>
  <si>
    <t>Anastasiya Audiyuk Martynyuk</t>
  </si>
  <si>
    <t>MBM195</t>
  </si>
  <si>
    <t>Instalaciones centro</t>
  </si>
  <si>
    <t>Cambados</t>
  </si>
  <si>
    <t>ANTONIO GALINDO</t>
  </si>
  <si>
    <t>Antonio Galindo Fernandez</t>
  </si>
  <si>
    <t>ISL10</t>
  </si>
  <si>
    <t>Carballo</t>
  </si>
  <si>
    <t>CENTROS AUDITIVOS NORDES 3J S.L.</t>
  </si>
  <si>
    <t>ANTONIO LIROLA DELGADO</t>
  </si>
  <si>
    <t>Antonio Gustavo Lirola Delgado</t>
  </si>
  <si>
    <t>RPG05</t>
  </si>
  <si>
    <t>Cuenca</t>
  </si>
  <si>
    <t>RIVERO</t>
  </si>
  <si>
    <t>Antonio Rodríguez Rivero</t>
  </si>
  <si>
    <t>MBM11</t>
  </si>
  <si>
    <t>Culleredo</t>
  </si>
  <si>
    <t>MARJENA ASESORES, S.L</t>
  </si>
  <si>
    <t>BARAJAS</t>
  </si>
  <si>
    <t>Carlos Barajas del Rosal</t>
  </si>
  <si>
    <t>LRM239</t>
  </si>
  <si>
    <t>Prestación de servicios</t>
  </si>
  <si>
    <t>CARLOS VELASQUEZ</t>
  </si>
  <si>
    <t>Carlos Velasquez Fermín</t>
  </si>
  <si>
    <t>Elda</t>
  </si>
  <si>
    <t>CARLOS VELASQUEZ FERMIN</t>
  </si>
  <si>
    <t>CARLOS VIDAL</t>
  </si>
  <si>
    <t>Carlos Vidal Redondo</t>
  </si>
  <si>
    <t>RPG09</t>
  </si>
  <si>
    <t xml:space="preserve">Congreso nacional  </t>
  </si>
  <si>
    <t>AUDIBRADA</t>
  </si>
  <si>
    <t>CRISTINA ESTHER TORREGROSA</t>
  </si>
  <si>
    <t>Cristina Esther Torregrosa Carrasquer</t>
  </si>
  <si>
    <t>ISL98</t>
  </si>
  <si>
    <t>CRISTINA GARCIA</t>
  </si>
  <si>
    <t>MBM190</t>
  </si>
  <si>
    <t>Gijón</t>
  </si>
  <si>
    <t>AUDICOST ASTURIAS</t>
  </si>
  <si>
    <t>CRISTINA IBAÑEZ MUÑOZ</t>
  </si>
  <si>
    <t>LRM151</t>
  </si>
  <si>
    <t>Girona</t>
  </si>
  <si>
    <t>CRISTINA POVEDANO</t>
  </si>
  <si>
    <t>Cristina Povedano Fernandez</t>
  </si>
  <si>
    <t>MBM107</t>
  </si>
  <si>
    <t>Hospitalet</t>
  </si>
  <si>
    <t>Hospitalet De Llobregat</t>
  </si>
  <si>
    <t>DANIEL BRIONES CRESPO</t>
  </si>
  <si>
    <t>LRM249</t>
  </si>
  <si>
    <t>Huelva</t>
  </si>
  <si>
    <t>ANTUNES</t>
  </si>
  <si>
    <t>Dinis Antunes Silva</t>
  </si>
  <si>
    <t>ISL19</t>
  </si>
  <si>
    <t>Jerez</t>
  </si>
  <si>
    <t>DINIS ANTUNES SILVA</t>
  </si>
  <si>
    <t>Lalín</t>
  </si>
  <si>
    <t>DINIS PAULO ANTUNES SILVA</t>
  </si>
  <si>
    <t>Leganés</t>
  </si>
  <si>
    <t>AUDICOST LEGANES</t>
  </si>
  <si>
    <t>ELENA MARTIN BEJARANO</t>
  </si>
  <si>
    <t>Elena Martín Bejerano</t>
  </si>
  <si>
    <t>MBM191</t>
  </si>
  <si>
    <t>León</t>
  </si>
  <si>
    <t>DAVID DE LA PUENTE MENCIA</t>
  </si>
  <si>
    <t>ELENA SEVILLA HERAS</t>
  </si>
  <si>
    <t>Elena Sevilla Heras</t>
  </si>
  <si>
    <t>ISL145</t>
  </si>
  <si>
    <t>AUDICOST LOGROÑO </t>
  </si>
  <si>
    <t>ALBERTO ESTEBAN SCOLA</t>
  </si>
  <si>
    <t>Esteban Scola Pliego</t>
  </si>
  <si>
    <t>MBM18</t>
  </si>
  <si>
    <t>Lugo</t>
  </si>
  <si>
    <t>CONTRERAS RAPOSO</t>
  </si>
  <si>
    <t>ESTEFANIA BERROCAL</t>
  </si>
  <si>
    <t>LAA47</t>
  </si>
  <si>
    <t>Canillas</t>
  </si>
  <si>
    <t>ESTEFANIA MIRANDA</t>
  </si>
  <si>
    <t>Estefania Miranda Sanchez</t>
  </si>
  <si>
    <t>MBM113</t>
  </si>
  <si>
    <t>Costa Rica</t>
  </si>
  <si>
    <t>Madrid- Costa Rica</t>
  </si>
  <si>
    <t>APLICACIONES JORVIK </t>
  </si>
  <si>
    <t>M.DE LA FE RUBIO ESCOLANO</t>
  </si>
  <si>
    <t>Fe Rubio Escolano</t>
  </si>
  <si>
    <t>RFV29</t>
  </si>
  <si>
    <t>Moncloa</t>
  </si>
  <si>
    <t>Madrid- Galileo</t>
  </si>
  <si>
    <t>AUDICOST GARRAF PENEDES, S.L</t>
  </si>
  <si>
    <t>FRANCISCO AGUILAR</t>
  </si>
  <si>
    <t>Francisco Javier Aguilar Vera</t>
  </si>
  <si>
    <t>LAA13</t>
  </si>
  <si>
    <t>Juan Bravo</t>
  </si>
  <si>
    <t>PACO PASTOR</t>
  </si>
  <si>
    <t>Francisco Pastor Bevia</t>
  </si>
  <si>
    <t>ISL34</t>
  </si>
  <si>
    <t>La Oca</t>
  </si>
  <si>
    <t>SIEMA BLINK, S.L</t>
  </si>
  <si>
    <t>GABRIEL MARTINEZ CAPOCCIONI</t>
  </si>
  <si>
    <t>Gabriel Martínez Capoccini</t>
  </si>
  <si>
    <t>RPG14</t>
  </si>
  <si>
    <t>La Vaguada</t>
  </si>
  <si>
    <t>Madrid- Monforte de Lemos</t>
  </si>
  <si>
    <t>MIGUEL GARIKOITZ CALZADA URIONDO</t>
  </si>
  <si>
    <t>Garikoitz Calzada Uriondo</t>
  </si>
  <si>
    <t>LRM48</t>
  </si>
  <si>
    <t>Moratalaz</t>
  </si>
  <si>
    <t>Madrid- Moratalaz</t>
  </si>
  <si>
    <t>GLENDYS REYES DE LA CRUZ</t>
  </si>
  <si>
    <t>Glendis Reyes de la Cruz</t>
  </si>
  <si>
    <t>LRM161</t>
  </si>
  <si>
    <t>Móstoles</t>
  </si>
  <si>
    <t>IGNACIO ALBALADEJO DEVIS</t>
  </si>
  <si>
    <t>Ignacio Albaladejo Devis</t>
  </si>
  <si>
    <t>ISL39</t>
  </si>
  <si>
    <t>INES PASTOR BASTERRA</t>
  </si>
  <si>
    <t>Inés Pastor Basterra</t>
  </si>
  <si>
    <t>LRM162</t>
  </si>
  <si>
    <t>O Barco</t>
  </si>
  <si>
    <t>O Barco De Valdeorras</t>
  </si>
  <si>
    <t>AUDICOST PONFERRADA, S.L</t>
  </si>
  <si>
    <t>IVAN MENDEZ BENEGASSI</t>
  </si>
  <si>
    <t>Ivan Mendez- Benegassi Silva</t>
  </si>
  <si>
    <t>MBM35</t>
  </si>
  <si>
    <t>Oleiros</t>
  </si>
  <si>
    <t>PABLO DURAN, S.L.</t>
  </si>
  <si>
    <t>JAIME OCHOA</t>
  </si>
  <si>
    <t>Jaime Alonso Ochoa Ríos</t>
  </si>
  <si>
    <t>LAA21</t>
  </si>
  <si>
    <t>La Zenia</t>
  </si>
  <si>
    <t>JAVIER ALONSO</t>
  </si>
  <si>
    <t>Javier Alonso Ortega</t>
  </si>
  <si>
    <t>MBM37</t>
  </si>
  <si>
    <t>Orense</t>
  </si>
  <si>
    <t>Ourense</t>
  </si>
  <si>
    <t>JAVIER GARCIA DUEÑAS</t>
  </si>
  <si>
    <t>Javier García-Dueñas Gonzalez</t>
  </si>
  <si>
    <t>ISL41</t>
  </si>
  <si>
    <t>Oviedo</t>
  </si>
  <si>
    <t>JEAN FRANCO INTRAPRENDENTE</t>
  </si>
  <si>
    <t>RFV15</t>
  </si>
  <si>
    <t>Palencia</t>
  </si>
  <si>
    <t>AUDICOST CASTILLA LEÓN</t>
  </si>
  <si>
    <t>JESUS CROVATO</t>
  </si>
  <si>
    <t>Jesús Crovato Rojas</t>
  </si>
  <si>
    <t>LAA24</t>
  </si>
  <si>
    <t>Plasencia</t>
  </si>
  <si>
    <t>ALEJANDRO CID GARCIA</t>
  </si>
  <si>
    <t>JESUS INIESTA</t>
  </si>
  <si>
    <t>Jesús Miguel Iniesta Turpín</t>
  </si>
  <si>
    <t>ISL45</t>
  </si>
  <si>
    <t>Ponferrada</t>
  </si>
  <si>
    <t>DR.GRASA</t>
  </si>
  <si>
    <t>Jesus-Maria Grasa Pérez</t>
  </si>
  <si>
    <t>MCC18</t>
  </si>
  <si>
    <t>Salamanca</t>
  </si>
  <si>
    <t>AUDICOST SALAMANCA S.L</t>
  </si>
  <si>
    <t>ANTONIO GARCIA MORILLAS</t>
  </si>
  <si>
    <t>JOSE GARCIA MORILLAS</t>
  </si>
  <si>
    <t>ISL50</t>
  </si>
  <si>
    <t>BARROSO</t>
  </si>
  <si>
    <t>MBM50</t>
  </si>
  <si>
    <t>Santiago</t>
  </si>
  <si>
    <t>Santiago de Compostela</t>
  </si>
  <si>
    <t>AUDICOST GALICIA</t>
  </si>
  <si>
    <t>GUSTAVO BARROSO</t>
  </si>
  <si>
    <t>Sevilla Este</t>
  </si>
  <si>
    <t>Sevilla- Ciencias</t>
  </si>
  <si>
    <t>SOLUCIONES AUDITIVAS AUDIORO 2021, S.L.</t>
  </si>
  <si>
    <t>JOSE JOAQUIN GUTIERREZ BARQUIN</t>
  </si>
  <si>
    <t>Jose Joaquín Gutiérrez Barquín</t>
  </si>
  <si>
    <t>MBM52</t>
  </si>
  <si>
    <t>Montoto</t>
  </si>
  <si>
    <t>OIR VITAL CENTROS AUDITIVOS </t>
  </si>
  <si>
    <t>JOSE MIGUEL OSETE ALBALADEJO</t>
  </si>
  <si>
    <t>José Miguel Osete Albaladejo</t>
  </si>
  <si>
    <t>ISL56</t>
  </si>
  <si>
    <t>Talavera</t>
  </si>
  <si>
    <t>AUDICOST TALAVERA, S.L</t>
  </si>
  <si>
    <t>JUAN JAVIER ALVAREZ</t>
  </si>
  <si>
    <t>Juan Javier alvarez López</t>
  </si>
  <si>
    <t>ISL58</t>
  </si>
  <si>
    <t>Terrassa</t>
  </si>
  <si>
    <t>SERGIO QUESADA GARCIA</t>
  </si>
  <si>
    <t>JUAN JAVIER ALVAREZ LOPEZ</t>
  </si>
  <si>
    <t>Toledo</t>
  </si>
  <si>
    <t>JULISSA AIDA VIZCARRA MELGAR</t>
  </si>
  <si>
    <t>Julissa Vizcarra</t>
  </si>
  <si>
    <t>MCC64</t>
  </si>
  <si>
    <t>Torrejón</t>
  </si>
  <si>
    <t>LAURA GAÑAN ALBUISECH</t>
  </si>
  <si>
    <t>Laura Gañan Albuisech</t>
  </si>
  <si>
    <t>ISL108</t>
  </si>
  <si>
    <t>Valencia</t>
  </si>
  <si>
    <t>LAURA RUANO</t>
  </si>
  <si>
    <t>Laura Ruano De Pablo</t>
  </si>
  <si>
    <t>MBM132</t>
  </si>
  <si>
    <t>LORENA SANZ</t>
  </si>
  <si>
    <t>MBM136</t>
  </si>
  <si>
    <t>ACUÑA</t>
  </si>
  <si>
    <t>Manuel Acuña García</t>
  </si>
  <si>
    <t>PSC23</t>
  </si>
  <si>
    <t>Valladolid</t>
  </si>
  <si>
    <t>DIEGO RICO PEREZ</t>
  </si>
  <si>
    <t>MANUEL GONZALEZ JULIAO</t>
  </si>
  <si>
    <t>Manuel Gonzalez Juliao</t>
  </si>
  <si>
    <t>MBM65</t>
  </si>
  <si>
    <t>Verín</t>
  </si>
  <si>
    <t>MARIA DE LA PAZ COLOMA GRAU</t>
  </si>
  <si>
    <t>María de la Paz Coloma Grau</t>
  </si>
  <si>
    <t>LRM149</t>
  </si>
  <si>
    <t>Vigo</t>
  </si>
  <si>
    <t>YOSILPE, S.L</t>
  </si>
  <si>
    <t>5 RESIDENTES (MAR MEDINA)</t>
  </si>
  <si>
    <t>María del Mar Medina Gonzalez</t>
  </si>
  <si>
    <t>MBM146</t>
  </si>
  <si>
    <t>Vilagarcía</t>
  </si>
  <si>
    <t>Vilagarcía De Arousa</t>
  </si>
  <si>
    <t>VARELA CARRERA, S.L.</t>
  </si>
  <si>
    <t>EMILIA GARCIA RUIZ</t>
  </si>
  <si>
    <t>Vilanova</t>
  </si>
  <si>
    <t>M.ESTRELLA GOMEZ TOMÉ</t>
  </si>
  <si>
    <t>María Estrella Gomez Tomé</t>
  </si>
  <si>
    <t>LRM185</t>
  </si>
  <si>
    <t>Vitoria</t>
  </si>
  <si>
    <t>aLVARO MOLLa GÓMEZ</t>
  </si>
  <si>
    <t>GABRIELA MORALES</t>
  </si>
  <si>
    <t>María Gabriela Bosco Morales</t>
  </si>
  <si>
    <t>MBM148</t>
  </si>
  <si>
    <t>Zaragoza</t>
  </si>
  <si>
    <t>Zaragoza- León XIII</t>
  </si>
  <si>
    <t>BERDEGAGO, S.L.</t>
  </si>
  <si>
    <t>MARIA GARROTE</t>
  </si>
  <si>
    <t>MBM149</t>
  </si>
  <si>
    <t>Zaragoza- Santander</t>
  </si>
  <si>
    <t>M.JOSE GAMIZ MAROTO</t>
  </si>
  <si>
    <t>María José Gamiz Maroto</t>
  </si>
  <si>
    <t>RFV07</t>
  </si>
  <si>
    <t>SAN BOI</t>
  </si>
  <si>
    <t>SANT BOI</t>
  </si>
  <si>
    <t>M.LUISA CALERO RAMOS</t>
  </si>
  <si>
    <t>María Luisa Calero Ramos</t>
  </si>
  <si>
    <t>LAA54</t>
  </si>
  <si>
    <t>MARIA MENDIGUCHIA</t>
  </si>
  <si>
    <t>María Mendiguchía Simón</t>
  </si>
  <si>
    <t>LRM199</t>
  </si>
  <si>
    <t>SOLEDAD FRIAS MOYA-ANGELER</t>
  </si>
  <si>
    <t>María Soledad Frías Moya-Angeler</t>
  </si>
  <si>
    <t>RFV25</t>
  </si>
  <si>
    <t>MARINA CACEDA</t>
  </si>
  <si>
    <t>Marina Caceda Chumbiauca</t>
  </si>
  <si>
    <t>ISL125</t>
  </si>
  <si>
    <t>CEBALLOS</t>
  </si>
  <si>
    <t>Mercedes Ceballos Cauto</t>
  </si>
  <si>
    <t>LAA56</t>
  </si>
  <si>
    <t>MIRIAM GARCIA LERMA</t>
  </si>
  <si>
    <t>Miriam García Lerma</t>
  </si>
  <si>
    <t>LRM219</t>
  </si>
  <si>
    <t>MONICA RODRIGUEZ</t>
  </si>
  <si>
    <t>Mónica Rodríguez Briceño</t>
  </si>
  <si>
    <t>ISL126</t>
  </si>
  <si>
    <t>MONICA RODRIGUEZ BRICEÑO</t>
  </si>
  <si>
    <t>NESLY GONZALEZ</t>
  </si>
  <si>
    <t>Nesly IIlely Gonzalez Sanchez</t>
  </si>
  <si>
    <t>MCC70</t>
  </si>
  <si>
    <t>Agustina Nicole Arbia Kalutich</t>
  </si>
  <si>
    <t>NO ENCONTRADO</t>
  </si>
  <si>
    <t>MBM205</t>
  </si>
  <si>
    <t>ALVARO BORQUE SANZ</t>
  </si>
  <si>
    <t>MBM206</t>
  </si>
  <si>
    <t>Amalia Fiestas Tartiere</t>
  </si>
  <si>
    <t>MBM207</t>
  </si>
  <si>
    <t>Ana Solís Fesser</t>
  </si>
  <si>
    <t>MBM208</t>
  </si>
  <si>
    <t xml:space="preserve">Andrea Gil Pro </t>
  </si>
  <si>
    <t>MBM209</t>
  </si>
  <si>
    <t>Antonio Ballesteros Chozas</t>
  </si>
  <si>
    <t>LRM260</t>
  </si>
  <si>
    <t>Carlos Carazo Casas</t>
  </si>
  <si>
    <t>MBM210</t>
  </si>
  <si>
    <t>Carlos Fernandez-Navarro García</t>
  </si>
  <si>
    <t>MBM211</t>
  </si>
  <si>
    <t>Cecilia Pérez Martínez</t>
  </si>
  <si>
    <t>MBM100</t>
  </si>
  <si>
    <t>Edson Robles Castilla</t>
  </si>
  <si>
    <t>MBM212</t>
  </si>
  <si>
    <t>Elena Vazquez Becerra</t>
  </si>
  <si>
    <t>LAA79</t>
  </si>
  <si>
    <t>Irene Gómez Frias</t>
  </si>
  <si>
    <t>MBM213</t>
  </si>
  <si>
    <t>Isabel Bueno Aventin</t>
  </si>
  <si>
    <t>MBM214</t>
  </si>
  <si>
    <t>Ismael Soriano Martínez</t>
  </si>
  <si>
    <t>MBM215</t>
  </si>
  <si>
    <t>Kurt Liebner Martínez</t>
  </si>
  <si>
    <t>MBM216</t>
  </si>
  <si>
    <t>María Lluc Montaña Frau</t>
  </si>
  <si>
    <t>MBM217</t>
  </si>
  <si>
    <t>Mar Gimeno Coret</t>
  </si>
  <si>
    <t>RFV46</t>
  </si>
  <si>
    <t>Miguel Lucas Herrera</t>
  </si>
  <si>
    <t>ISL147</t>
  </si>
  <si>
    <t>María Montserrat Asensi Díaz</t>
  </si>
  <si>
    <t>MBM218</t>
  </si>
  <si>
    <t>Paula Morales Chacchi</t>
  </si>
  <si>
    <t>MBM219</t>
  </si>
  <si>
    <t>NURIA SALAS BARRIOS</t>
  </si>
  <si>
    <t>Nuria Salas Barrio</t>
  </si>
  <si>
    <t>ISL128</t>
  </si>
  <si>
    <t>OLGA ALDECOA JIMENEZ</t>
  </si>
  <si>
    <t>Olga Aldecoa Jiménez</t>
  </si>
  <si>
    <t>LRM224</t>
  </si>
  <si>
    <t>OSCAR SANCHEZ</t>
  </si>
  <si>
    <t>Oscar A, Sanchez Valenzuela</t>
  </si>
  <si>
    <t>MBM69</t>
  </si>
  <si>
    <t>SANCHEZ VALENZUELA</t>
  </si>
  <si>
    <t>PABLO VERGES</t>
  </si>
  <si>
    <t>Pablo Vergés Fort</t>
  </si>
  <si>
    <t>MCC29</t>
  </si>
  <si>
    <t>PABLO VERGES FORT</t>
  </si>
  <si>
    <t>RAIMUNDO ANDRES NAVARRO</t>
  </si>
  <si>
    <t>Raimundo Andres Navarro Mediano</t>
  </si>
  <si>
    <t>MBM74</t>
  </si>
  <si>
    <t>ROCIO GONZALEZ</t>
  </si>
  <si>
    <t>Rocío Gonzalez Marquez</t>
  </si>
  <si>
    <t>MBM172</t>
  </si>
  <si>
    <t>VANIA NOVOA JUIZ</t>
  </si>
  <si>
    <t>Vania Novoa Juiz</t>
  </si>
  <si>
    <t>ISL134</t>
  </si>
  <si>
    <t>VICTORIA GARCIA PECES</t>
  </si>
  <si>
    <t>Victoria García Peces</t>
  </si>
  <si>
    <t>MBM184</t>
  </si>
  <si>
    <t>VIRGINIA DIAZ GUERRERO</t>
  </si>
  <si>
    <t>Virginia Díaz Guerrero</t>
  </si>
  <si>
    <t>MBM185</t>
  </si>
  <si>
    <t>MERCEDES CEBALLOS</t>
  </si>
  <si>
    <t>LAA77</t>
  </si>
  <si>
    <t>ANA G.JOVER</t>
  </si>
  <si>
    <t>Mar Lasso</t>
  </si>
  <si>
    <t>VARIOS</t>
  </si>
  <si>
    <t>N/ENC</t>
  </si>
  <si>
    <t>Total general</t>
  </si>
  <si>
    <t>(en blanco)</t>
  </si>
  <si>
    <t>Total (en blanco)</t>
  </si>
  <si>
    <t>RESUMEN TOTAL 2026 — VISITADOR / MÉDICO / IMPORTE</t>
  </si>
  <si>
    <t>RESUMEN POR VISITADOR</t>
  </si>
  <si>
    <t>Nº MÉDICOS</t>
  </si>
  <si>
    <t>Nº ACCIONES</t>
  </si>
  <si>
    <t>IMPORTE TOTAL</t>
  </si>
  <si>
    <t>Iván Sánchez</t>
  </si>
  <si>
    <t>Lisandro Russian</t>
  </si>
  <si>
    <t>Luis Alberto Rodríguez</t>
  </si>
  <si>
    <t>Maika Blázquez</t>
  </si>
  <si>
    <t>Ramon Ferrando</t>
  </si>
  <si>
    <t>TOTAL</t>
  </si>
  <si>
    <t>DETALLE POR VISITADOR Y MÉDICO</t>
  </si>
  <si>
    <t>MÉDICO (ORL)</t>
  </si>
  <si>
    <t>Julie Múnoz Freitez</t>
  </si>
  <si>
    <t>Nota: La diferencia entre totales se debe a registros con importe vacío en la hoja fuente TOTAL2026.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</si>
</sst>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m/yyyy"/>
    <numFmt numFmtId="165" formatCode="dd\,mm\,yy"/>
    <numFmt numFmtId="166" formatCode="d\,m\,yy"/>
    <numFmt numFmtId="167" formatCode="dd\,mm\,yyyy"/>
    <numFmt numFmtId="168" formatCode="#,##0.00\ [$€-1]"/>
    <numFmt numFmtId="169" formatCode="#,##0.00;\(#,##0.00\);\-"/>
  </numFmts>
  <fonts count="2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Calibri"/>
      <family val="2"/>
    </font>
    <font>
      <b/>
      <sz val="11"/>
      <color theme="4"/>
      <name val="Calibri"/>
      <family val="2"/>
    </font>
    <font>
      <sz val="11"/>
      <color rgb="FFFF0000"/>
      <name val="Arial"/>
      <family val="2"/>
    </font>
    <font>
      <sz val="11"/>
      <color rgb="FF000000"/>
      <name val="&quot;Aptos Narrow&quot;"/>
    </font>
    <font>
      <sz val="11"/>
      <color rgb="FF6AA84F"/>
      <name val="Calibri"/>
      <family val="2"/>
    </font>
    <font>
      <sz val="11"/>
      <color theme="1"/>
      <name val="Arial"/>
      <family val="2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1" fillId="2" borderId="1" xfId="0" applyFont="1" applyFill="1" applyBorder="1"/>
    <xf numFmtId="0" fontId="1" fillId="3" borderId="0" xfId="0" applyFont="1" applyFill="1"/>
    <xf numFmtId="0" fontId="2" fillId="2" borderId="0" xfId="0" applyFont="1" applyFill="1"/>
    <xf numFmtId="0" fontId="3" fillId="0" borderId="0" xfId="0" applyFont="1"/>
    <xf numFmtId="0" fontId="3" fillId="4" borderId="0" xfId="0" applyFont="1" applyFill="1"/>
    <xf numFmtId="0" fontId="4" fillId="5" borderId="0" xfId="0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/>
    <xf numFmtId="164" fontId="3" fillId="5" borderId="0" xfId="0" applyNumberFormat="1" applyFont="1" applyFill="1"/>
    <xf numFmtId="165" fontId="3" fillId="5" borderId="0" xfId="0" applyNumberFormat="1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167" fontId="3" fillId="0" borderId="0" xfId="0" applyNumberFormat="1" applyFont="1"/>
    <xf numFmtId="0" fontId="3" fillId="2" borderId="0" xfId="0" applyFont="1" applyFill="1"/>
    <xf numFmtId="0" fontId="5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6" fillId="0" borderId="0" xfId="0" applyFont="1"/>
    <xf numFmtId="0" fontId="6" fillId="6" borderId="1" xfId="0" applyFont="1" applyFill="1" applyBorder="1"/>
    <xf numFmtId="0" fontId="3" fillId="0" borderId="1" xfId="0" applyFont="1" applyBorder="1"/>
    <xf numFmtId="0" fontId="1" fillId="4" borderId="1" xfId="0" applyFont="1" applyFill="1" applyBorder="1"/>
    <xf numFmtId="0" fontId="6" fillId="0" borderId="1" xfId="0" applyFont="1" applyBorder="1"/>
    <xf numFmtId="166" fontId="6" fillId="0" borderId="1" xfId="0" applyNumberFormat="1" applyFont="1" applyBorder="1"/>
    <xf numFmtId="165" fontId="6" fillId="0" borderId="1" xfId="0" applyNumberFormat="1" applyFont="1" applyBorder="1"/>
    <xf numFmtId="165" fontId="6" fillId="3" borderId="0" xfId="0" applyNumberFormat="1" applyFont="1" applyFill="1"/>
    <xf numFmtId="0" fontId="7" fillId="3" borderId="0" xfId="0" applyFont="1" applyFill="1" applyAlignment="1">
      <alignment horizontal="right"/>
    </xf>
    <xf numFmtId="0" fontId="7" fillId="0" borderId="0" xfId="0" applyFont="1"/>
    <xf numFmtId="166" fontId="7" fillId="3" borderId="0" xfId="0" applyNumberFormat="1" applyFont="1" applyFill="1" applyAlignment="1">
      <alignment horizontal="right"/>
    </xf>
    <xf numFmtId="166" fontId="6" fillId="3" borderId="0" xfId="0" applyNumberFormat="1" applyFont="1" applyFill="1"/>
    <xf numFmtId="0" fontId="7" fillId="0" borderId="1" xfId="0" applyFont="1" applyBorder="1" applyAlignment="1">
      <alignment horizontal="right"/>
    </xf>
    <xf numFmtId="0" fontId="7" fillId="6" borderId="1" xfId="0" applyFont="1" applyFill="1" applyBorder="1"/>
    <xf numFmtId="0" fontId="8" fillId="4" borderId="1" xfId="0" applyFont="1" applyFill="1" applyBorder="1"/>
    <xf numFmtId="0" fontId="7" fillId="0" borderId="1" xfId="0" applyFont="1" applyBorder="1"/>
    <xf numFmtId="166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166" fontId="7" fillId="0" borderId="0" xfId="0" applyNumberFormat="1" applyFont="1"/>
    <xf numFmtId="165" fontId="7" fillId="7" borderId="0" xfId="0" applyNumberFormat="1" applyFont="1" applyFill="1" applyAlignment="1">
      <alignment horizontal="right"/>
    </xf>
    <xf numFmtId="166" fontId="7" fillId="7" borderId="0" xfId="0" applyNumberFormat="1" applyFont="1" applyFill="1" applyAlignment="1">
      <alignment horizontal="right"/>
    </xf>
    <xf numFmtId="0" fontId="6" fillId="3" borderId="0" xfId="0" applyFont="1" applyFill="1"/>
    <xf numFmtId="0" fontId="1" fillId="0" borderId="0" xfId="0" applyFont="1"/>
    <xf numFmtId="165" fontId="7" fillId="3" borderId="0" xfId="0" applyNumberFormat="1" applyFont="1" applyFill="1" applyAlignment="1">
      <alignment horizontal="right"/>
    </xf>
    <xf numFmtId="0" fontId="7" fillId="3" borderId="0" xfId="0" applyFont="1" applyFill="1"/>
    <xf numFmtId="165" fontId="6" fillId="0" borderId="0" xfId="0" applyNumberFormat="1" applyFont="1"/>
    <xf numFmtId="0" fontId="6" fillId="6" borderId="0" xfId="0" applyFont="1" applyFill="1"/>
    <xf numFmtId="0" fontId="3" fillId="8" borderId="0" xfId="0" applyFont="1" applyFill="1"/>
    <xf numFmtId="168" fontId="3" fillId="0" borderId="0" xfId="0" applyNumberFormat="1" applyFont="1"/>
    <xf numFmtId="0" fontId="9" fillId="0" borderId="0" xfId="0" applyFont="1"/>
    <xf numFmtId="0" fontId="2" fillId="9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10" fillId="0" borderId="2" xfId="0" applyFont="1" applyBorder="1"/>
    <xf numFmtId="0" fontId="10" fillId="0" borderId="0" xfId="0" applyFont="1"/>
    <xf numFmtId="0" fontId="6" fillId="0" borderId="2" xfId="0" applyFont="1" applyBorder="1"/>
    <xf numFmtId="0" fontId="6" fillId="0" borderId="3" xfId="0" applyFont="1" applyBorder="1"/>
    <xf numFmtId="0" fontId="11" fillId="0" borderId="3" xfId="0" applyFont="1" applyBorder="1"/>
    <xf numFmtId="0" fontId="12" fillId="0" borderId="1" xfId="0" applyFont="1" applyBorder="1"/>
    <xf numFmtId="0" fontId="13" fillId="0" borderId="2" xfId="0" applyFont="1" applyBorder="1"/>
    <xf numFmtId="0" fontId="11" fillId="0" borderId="0" xfId="0" applyFont="1"/>
    <xf numFmtId="0" fontId="14" fillId="0" borderId="0" xfId="0" applyFont="1"/>
    <xf numFmtId="0" fontId="14" fillId="0" borderId="3" xfId="0" applyFont="1" applyBorder="1"/>
    <xf numFmtId="0" fontId="14" fillId="0" borderId="2" xfId="0" applyFont="1" applyBorder="1"/>
    <xf numFmtId="0" fontId="15" fillId="0" borderId="0" xfId="0" applyFont="1"/>
    <xf numFmtId="0" fontId="16" fillId="0" borderId="1" xfId="0" applyFont="1" applyBorder="1"/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164" fontId="0" fillId="0" borderId="4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Border="1"/>
    <xf numFmtId="164" fontId="0" fillId="0" borderId="10" xfId="0" applyNumberFormat="1" applyBorder="1"/>
    <xf numFmtId="0" fontId="0" fillId="0" borderId="10" xfId="0" applyNumberFormat="1" applyBorder="1"/>
    <xf numFmtId="0" fontId="0" fillId="0" borderId="0" xfId="0" applyNumberFormat="1"/>
    <xf numFmtId="0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2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17" fillId="0" borderId="0" xfId="0" applyFont="1"/>
    <xf numFmtId="0" fontId="18" fillId="10" borderId="0" xfId="0" applyFont="1" applyFill="1"/>
    <xf numFmtId="0" fontId="0" fillId="10" borderId="0" xfId="0" applyFill="1"/>
    <xf numFmtId="0" fontId="0" fillId="0" borderId="16" xfId="0" applyBorder="1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19" fillId="11" borderId="16" xfId="0" applyFont="1" applyFill="1" applyBorder="1"/>
    <xf numFmtId="0" fontId="0" fillId="0" borderId="16" xfId="0" applyBorder="1"/>
    <xf numFmtId="169" fontId="0" fillId="0" borderId="16" xfId="0" applyNumberFormat="1" applyBorder="1"/>
    <xf numFmtId="169" fontId="19" fillId="11" borderId="16" xfId="0" applyNumberFormat="1" applyFont="1" applyFill="1" applyBorder="1"/>
    <xf numFmtId="0" fontId="0" fillId="11" borderId="16" xfId="0" applyFill="1" applyBorder="1"/>
    <xf numFmtId="0" fontId="0" fillId="12" borderId="16" xfId="0" applyFill="1" applyBorder="1"/>
    <xf numFmtId="0" fontId="0" fillId="12" borderId="16" xfId="0" applyFill="1" applyBorder="1" applyAlignment="1">
      <alignment horizontal="center"/>
    </xf>
    <xf numFmtId="169" fontId="0" fillId="12" borderId="16" xfId="0" applyNumberFormat="1" applyFill="1" applyBorder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21.425666550924" refreshedVersion="8" recordCount="1000" xr:uid="{00000000-000A-0000-FFFF-FFFF01000000}">
  <cacheSource type="worksheet">
    <worksheetSource ref="A1:O1001" sheet="TOTAL2026"/>
  </cacheSource>
  <cacheFields count="15">
    <cacheField name="CONTRATO" numFmtId="0">
      <sharedItems containsBlank="1" count="5">
        <s v="NO"/>
        <s v="ISL104"/>
        <s v="ISL14"/>
        <s v=""/>
        <m/>
      </sharedItems>
    </cacheField>
    <cacheField name="MES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VISITADOR" numFmtId="0">
      <sharedItems containsBlank="1"/>
    </cacheField>
    <cacheField name="CENTRO" numFmtId="0">
      <sharedItems containsBlank="1" count="19">
        <s v="Jerez de la Frontera"/>
        <s v="Getafe"/>
        <s v="Fuenlabrada"/>
        <s v="Madrid- Canillas"/>
        <s v="Sevilla- Montoto"/>
        <s v="Torrejón De Ardoz"/>
        <s v="Madrid- La Oca"/>
        <s v="Madrid- Juan Bravo"/>
        <s v="Logroño"/>
        <s v="El Albir (Benidorm)"/>
        <s v="Valencia- Cadiz"/>
        <s v="Valencia- Parra"/>
        <s v="Alcorcón"/>
        <s v="Orihuela"/>
        <s v="Murcia"/>
        <s v="San Javier"/>
        <s v="Alicante"/>
        <s v="Clínica"/>
        <m/>
      </sharedItems>
    </cacheField>
    <cacheField name="COD.CONTRATO" numFmtId="0">
      <sharedItems containsBlank="1"/>
    </cacheField>
    <cacheField name="ORL" numFmtId="0">
      <sharedItems containsBlank="1"/>
    </cacheField>
    <cacheField name="ACCION MKT" numFmtId="0">
      <sharedItems containsBlank="1"/>
    </cacheField>
    <cacheField name="CATEGORÍAS" numFmtId="164">
      <sharedItems containsBlank="1" count="13">
        <s v="Publicidad"/>
        <s v="Alojamiento"/>
        <s v="Inscripción"/>
        <s v="Material para centro"/>
        <s v="Mobiliario"/>
        <s v="Congreso internacional personal"/>
        <s v="Congreso internacional"/>
        <s v="Traslado"/>
        <s v="Obras acondicionamiento centro"/>
        <s v="Alojamiento y traslado"/>
        <s v="Congreso nacional personal"/>
        <s v="Gastos de personal"/>
        <m/>
      </sharedItems>
    </cacheField>
    <cacheField name="FECHA P/" numFmtId="0">
      <sharedItems containsDate="1" containsBlank="1" containsMixedTypes="1" minDate="2026-01-14T00:00:00" maxDate="2026-04-09T00:00:00"/>
    </cacheField>
    <cacheField name="FECHA PAGO" numFmtId="0">
      <sharedItems containsNonDate="0" containsDate="1" containsString="0" containsBlank="1" minDate="2026-01-12T00:00:00" maxDate="2026-04-09T00:00:00"/>
    </cacheField>
    <cacheField name="IMPORTE" numFmtId="0">
      <sharedItems containsString="0" containsBlank="1" containsNumber="1" minValue="-13700" maxValue="5025"/>
    </cacheField>
    <cacheField name="EMPRESA" numFmtId="0">
      <sharedItems containsBlank="1"/>
    </cacheField>
    <cacheField name="OBSERVACIONES" numFmtId="0">
      <sharedItems containsNonDate="0" containsString="0" containsBlank="1"/>
    </cacheField>
    <cacheField name="Codigo medico" numFmtId="0">
      <sharedItems containsNonDate="0" containsString="0" containsBlank="1"/>
    </cacheField>
    <cacheField name="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21.425666782408" refreshedVersion="8" recordCount="1000" xr:uid="{00000000-000A-0000-FFFF-FFFF00000000}">
  <cacheSource type="worksheet">
    <worksheetSource ref="A1:AB1001" sheet="TOTAL2026"/>
  </cacheSource>
  <cacheFields count="28">
    <cacheField name="CONTRATO" numFmtId="0">
      <sharedItems containsBlank="1"/>
    </cacheField>
    <cacheField name="MES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VISITADOR" numFmtId="0">
      <sharedItems containsBlank="1"/>
    </cacheField>
    <cacheField name="CENTRO" numFmtId="0">
      <sharedItems containsBlank="1" count="19">
        <s v="Jerez de la Frontera"/>
        <s v="Getafe"/>
        <s v="Fuenlabrada"/>
        <s v="Madrid- Canillas"/>
        <s v="Sevilla- Montoto"/>
        <s v="Torrejón De Ardoz"/>
        <s v="Madrid- La Oca"/>
        <s v="Madrid- Juan Bravo"/>
        <s v="Logroño"/>
        <s v="El Albir (Benidorm)"/>
        <s v="Valencia- Cadiz"/>
        <s v="Valencia- Parra"/>
        <s v="Alcorcón"/>
        <s v="Orihuela"/>
        <s v="Murcia"/>
        <s v="San Javier"/>
        <s v="Alicante"/>
        <s v="Clínica"/>
        <m/>
      </sharedItems>
    </cacheField>
    <cacheField name="COD.CONTRATO" numFmtId="0">
      <sharedItems containsBlank="1" count="44">
        <s v="LAA78"/>
        <s v="MBM149"/>
        <s v="MBM164"/>
        <s v="MBM111"/>
        <s v="MBM50"/>
        <s v="LAA08"/>
        <s v="MBM136"/>
        <s v="MBM52"/>
        <s v="MBM190"/>
        <s v="MBM224"/>
        <s v="LRM151"/>
        <s v="RFV38"/>
        <s v="MBM187"/>
        <s v="RFV48"/>
        <s v="MBM61"/>
        <s v="MBM147"/>
        <s v="RFV15"/>
        <s v="ISL54"/>
        <s v="LRM264"/>
        <s v="LRM82"/>
        <s v="ISL104"/>
        <s v="MBM26"/>
        <s v="MBM96"/>
        <s v="LAA37"/>
        <s v="MBM69"/>
        <s v="MBM228"/>
        <s v="MBM229"/>
        <s v="MBM230"/>
        <s v="ISL14"/>
        <s v="ISL24"/>
        <s v="ISL149"/>
        <s v="LRM249"/>
        <s v="MBM223"/>
        <s v="ISL58"/>
        <s v="LAA81"/>
        <s v="ISL142"/>
        <s v="ISL105"/>
        <s v="LRM261"/>
        <s v="LAA47"/>
        <s v="RFV26"/>
        <s v="MBM231"/>
        <s v="LRM239"/>
        <s v=""/>
        <m/>
      </sharedItems>
    </cacheField>
    <cacheField name="ORL" numFmtId="0">
      <sharedItems containsBlank="1" count="43">
        <s v="Maria Del Carmen Salom Coveñas"/>
        <s v="María Garrote Garrote"/>
        <s v="Paloma Martín-Aragón Martín"/>
        <s v="Elisabeth Amarillo Espitia"/>
        <s v="José Gustavo Barroso Braojos"/>
        <s v="David Castro Gutiérrez de Agüero"/>
        <s v="Lorena Sanz López"/>
        <s v="José Joaquín Gutiérrez Barquín"/>
        <s v="Cristina García García"/>
        <s v="Roberto Sanz Garzón"/>
        <s v="Cristina Ibañez Muñoz"/>
        <s v="María Emilia García Ruiz"/>
        <s v="Abel Bogoya Castaño"/>
        <s v="Elena González Turienzo"/>
        <s v="Julie Múñoz Freitez"/>
        <s v="María Estefanía Hernández García"/>
        <s v="Jean Franco Intraprendente Martini"/>
        <s v="José María Laborda Margolles"/>
        <s v="Carmen Delgado Muñoz"/>
        <s v="José Miguel Aparicio Fernández"/>
        <s v="Isabel Polo Tomás"/>
        <s v="Gerardo Monedero Rodrigo"/>
        <s v="Beatriz Santos Duque"/>
        <s v="Miguel Rodriguez Pérez"/>
        <s v="Oscar A, Sánchez Valenzuela"/>
        <s v="Daniel Rodríguez Ocaña"/>
        <s v="Raquel de Lama Bermejo"/>
        <s v="Daniela Carrillo Moreno"/>
        <s v="Carlos Velásquez Fermín"/>
        <s v="Enrique López Meseguer"/>
        <s v="Ángel Onofre Pérez Coll"/>
        <s v="Daniel Briones Crespo"/>
        <s v="Cristina Vaduva"/>
        <s v="Juan Javier Álvarez López"/>
        <s v="Manuel Tucciarone"/>
        <s v="Marina Pérez Grau"/>
        <s v="Karen Rojas Crespo"/>
        <s v="Miguel Garikoitz Calzada Uriondo"/>
        <s v="Estefanía Berrocal Postigo"/>
        <s v="Ainhoa García-Lliberos de Miguel"/>
        <s v="Itziar Jimenez Gomez"/>
        <s v="Carlos Barajas Del Rosal"/>
        <m/>
      </sharedItems>
    </cacheField>
    <cacheField name="ACCION MKT" numFmtId="0">
      <sharedItems containsBlank="1"/>
    </cacheField>
    <cacheField name="CATEGORÍAS" numFmtId="164">
      <sharedItems containsBlank="1" count="13">
        <s v="Publicidad"/>
        <s v="Alojamiento"/>
        <s v="Inscripción"/>
        <s v="Material para centro"/>
        <s v="Mobiliario"/>
        <s v="Congreso internacional personal"/>
        <s v="Congreso internacional"/>
        <s v="Traslado"/>
        <s v="Obras acondicionamiento centro"/>
        <s v="Alojamiento y traslado"/>
        <s v="Congreso nacional personal"/>
        <s v="Gastos de personal"/>
        <m/>
      </sharedItems>
    </cacheField>
    <cacheField name="FECHA P/" numFmtId="0">
      <sharedItems containsDate="1" containsBlank="1" containsMixedTypes="1" minDate="2026-01-14T00:00:00" maxDate="2026-04-09T00:00:00"/>
    </cacheField>
    <cacheField name="FECHA PAGO" numFmtId="0">
      <sharedItems containsNonDate="0" containsDate="1" containsString="0" containsBlank="1" minDate="2026-01-12T00:00:00" maxDate="2026-04-09T00:00:00"/>
    </cacheField>
    <cacheField name="IMPORTE" numFmtId="0">
      <sharedItems containsString="0" containsBlank="1" containsNumber="1" minValue="-13700" maxValue="5025"/>
    </cacheField>
    <cacheField name="EMPRESA" numFmtId="0">
      <sharedItems containsBlank="1"/>
    </cacheField>
    <cacheField name="OBSERVACIONES" numFmtId="0">
      <sharedItems containsNonDate="0" containsString="0" containsBlank="1"/>
    </cacheField>
    <cacheField name="Codigo medico" numFmtId="0">
      <sharedItems containsNonDate="0" containsString="0" containsBlank="1"/>
    </cacheField>
    <cacheField name=" " numFmtId="0">
      <sharedItems containsNonDate="0" containsString="0" containsBlank="1"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  <cacheField name=" 8" numFmtId="0">
      <sharedItems containsNonDate="0" containsString="0" containsBlank="1"/>
    </cacheField>
    <cacheField name=" 9" numFmtId="0">
      <sharedItems containsNonDate="0" containsString="0" containsBlank="1"/>
    </cacheField>
    <cacheField name=" 10" numFmtId="0">
      <sharedItems containsNonDate="0" containsString="0" containsBlank="1"/>
    </cacheField>
    <cacheField name=" 11" numFmtId="0">
      <sharedItems containsNonDate="0" containsString="0" containsBlank="1"/>
    </cacheField>
    <cacheField name=" 12" numFmtId="0">
      <sharedItems containsNonDate="0" containsString="0" containsBlank="1"/>
    </cacheField>
    <cacheField name=" 13" numFmtId="0">
      <sharedItems containsNonDate="0" containsString="0" containsBlank="1"/>
    </cacheField>
    <cacheField name=" 1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s v="Luis Alberto Rodríguez"/>
    <x v="0"/>
    <s v="LAA78"/>
    <s v="Maria Del Carmen Salom Coveñas"/>
    <s v="PATROCINIO"/>
    <x v="0"/>
    <m/>
    <d v="2026-01-12T00:00:00"/>
    <n v="-4432"/>
    <s v="AUDICOST, S.L.U"/>
    <m/>
    <m/>
    <m/>
  </r>
  <r>
    <x v="0"/>
    <x v="0"/>
    <s v="Maika Blázquez"/>
    <x v="1"/>
    <s v="MBM149"/>
    <s v="María Garrote Garrote"/>
    <s v="AIRBNB"/>
    <x v="1"/>
    <d v="2026-01-14T00:00:00"/>
    <d v="2026-01-12T00:00:00"/>
    <n v="-1700"/>
    <s v="AUDIBRADA"/>
    <m/>
    <m/>
    <m/>
  </r>
  <r>
    <x v="0"/>
    <x v="0"/>
    <s v="Maika Blázquez"/>
    <x v="2"/>
    <s v="MBM164"/>
    <s v="Paloma Martín-Aragón Martín"/>
    <s v="INSCRIPCION CURSO MICROCIRUGIA"/>
    <x v="2"/>
    <m/>
    <d v="2026-01-13T00:00:00"/>
    <n v="-1663.35"/>
    <s v="AUDIBRADA"/>
    <m/>
    <m/>
    <m/>
  </r>
  <r>
    <x v="0"/>
    <x v="0"/>
    <s v="Maika Blázquez"/>
    <x v="2"/>
    <s v="MBM111"/>
    <s v="Elisabeth Amarillo Espitia"/>
    <s v="INSCRIPCION CURSO MICROCIRUGIA"/>
    <x v="2"/>
    <m/>
    <d v="2026-01-13T00:00:00"/>
    <n v="-1663.35"/>
    <s v="AUDIBRADA"/>
    <m/>
    <m/>
    <m/>
  </r>
  <r>
    <x v="0"/>
    <x v="0"/>
    <s v="Maika Blázquez"/>
    <x v="3"/>
    <s v="MBM50"/>
    <s v="José Gustavo Barroso Braojos"/>
    <s v="2 SMARTWATCH"/>
    <x v="3"/>
    <d v="2026-01-14T00:00:00"/>
    <d v="2026-01-13T00:00:00"/>
    <n v="-899.98"/>
    <s v="AUDICOST, S.L.U"/>
    <m/>
    <m/>
    <m/>
  </r>
  <r>
    <x v="0"/>
    <x v="0"/>
    <s v="Luis Alberto Rodríguez"/>
    <x v="4"/>
    <s v="LAA08"/>
    <s v="David Castro Gutiérrez de Agüero"/>
    <s v="IPHONE17 PRO"/>
    <x v="3"/>
    <d v="2026-01-20T00:00:00"/>
    <d v="2026-01-15T00:00:00"/>
    <n v="-1289"/>
    <s v="OIR VITAL CENTROS AUDITIVOS "/>
    <m/>
    <m/>
    <m/>
  </r>
  <r>
    <x v="0"/>
    <x v="0"/>
    <s v="Maika Blázquez"/>
    <x v="5"/>
    <s v="MBM136"/>
    <s v="Lorena Sanz López"/>
    <s v="INSCRIPCION, VUELO Y HOTEL-MAYOR IMPORTE DICBRE."/>
    <x v="2"/>
    <d v="2026-01-20T00:00:00"/>
    <d v="2026-01-19T00:00:00"/>
    <n v="-205.75"/>
    <s v="AUDICOST LEGANES"/>
    <m/>
    <m/>
    <m/>
  </r>
  <r>
    <x v="0"/>
    <x v="0"/>
    <s v="Maika Blázquez"/>
    <x v="6"/>
    <s v="MBM52"/>
    <s v="José Joaquín Gutiérrez Barquín"/>
    <s v="MESA"/>
    <x v="4"/>
    <d v="2026-01-22T00:00:00"/>
    <d v="2026-01-20T00:00:00"/>
    <n v="-973"/>
    <s v="SIEMA BLINK, S.L"/>
    <m/>
    <m/>
    <m/>
  </r>
  <r>
    <x v="0"/>
    <x v="0"/>
    <s v="Maika Blázquez"/>
    <x v="2"/>
    <s v="MBM190"/>
    <s v="Cristina García García"/>
    <s v="CURSO 2"/>
    <x v="2"/>
    <s v=" "/>
    <d v="2026-01-21T00:00:00"/>
    <n v="-1386.13"/>
    <s v="AUDIBRADA"/>
    <m/>
    <m/>
    <m/>
  </r>
  <r>
    <x v="0"/>
    <x v="0"/>
    <s v="Maika Blázquez"/>
    <x v="2"/>
    <s v="MBM190"/>
    <s v="Cristina García García"/>
    <s v="CURSO 1"/>
    <x v="2"/>
    <s v=" "/>
    <d v="2026-01-21T00:00:00"/>
    <n v="-1386.13"/>
    <s v="AUDIBRADA"/>
    <m/>
    <m/>
    <m/>
  </r>
  <r>
    <x v="0"/>
    <x v="0"/>
    <s v="Maika Blázquez"/>
    <x v="7"/>
    <s v="MBM224"/>
    <s v="Roberto Sanz Garzón"/>
    <s v="CURSO"/>
    <x v="2"/>
    <d v="2026-01-21T00:00:00"/>
    <d v="2026-01-21T00:00:00"/>
    <n v="-600"/>
    <s v="AUDICOST, S.L.U"/>
    <m/>
    <m/>
    <m/>
  </r>
  <r>
    <x v="0"/>
    <x v="0"/>
    <s v="Lisandro Russian"/>
    <x v="8"/>
    <s v="LRM151"/>
    <s v="Cristina Ibañez Muñoz"/>
    <s v="CONGRESO ATENAS"/>
    <x v="5"/>
    <d v="2026-02-05T00:00:00"/>
    <d v="2026-01-22T00:00:00"/>
    <n v="-4701.07"/>
    <s v="AUDICOST LOGROÑO "/>
    <m/>
    <m/>
    <m/>
  </r>
  <r>
    <x v="0"/>
    <x v="0"/>
    <s v="Ramon Ferrando"/>
    <x v="9"/>
    <s v="RFV38"/>
    <s v="María Emilia García Ruiz"/>
    <s v="IPHONE17 "/>
    <x v="3"/>
    <m/>
    <d v="2026-01-23T00:00:00"/>
    <n v="-1500"/>
    <s v="AUDICANTE"/>
    <m/>
    <m/>
    <m/>
  </r>
  <r>
    <x v="0"/>
    <x v="0"/>
    <s v="Maika Blázquez"/>
    <x v="5"/>
    <s v="MBM187"/>
    <s v="Abel Bogoya Castaño"/>
    <s v="CURSO"/>
    <x v="2"/>
    <m/>
    <m/>
    <m/>
    <s v="AUDICOST LEGANES"/>
    <m/>
    <m/>
    <m/>
  </r>
  <r>
    <x v="0"/>
    <x v="0"/>
    <s v="Ramon Ferrando"/>
    <x v="10"/>
    <s v="RFV48"/>
    <s v="Elena González Turienzo"/>
    <s v="CURSO"/>
    <x v="2"/>
    <d v="2026-02-05T00:00:00"/>
    <d v="2026-01-27T00:00:00"/>
    <n v="-133.07"/>
    <s v="AUDICANTE"/>
    <m/>
    <m/>
    <m/>
  </r>
  <r>
    <x v="0"/>
    <x v="1"/>
    <s v="Maika Blázquez"/>
    <x v="5"/>
    <s v="MBM61"/>
    <s v="Julie Múñoz Freitez"/>
    <s v="CURSO"/>
    <x v="2"/>
    <d v="2026-02-09T00:00:00"/>
    <d v="2026-02-03T00:00:00"/>
    <n v="-2772.25"/>
    <s v="AUDICOST LEGANES"/>
    <m/>
    <m/>
    <m/>
  </r>
  <r>
    <x v="0"/>
    <x v="1"/>
    <s v="Maika Blázquez"/>
    <x v="2"/>
    <s v="MBM147"/>
    <s v="María Estefanía Hernández García"/>
    <s v="CURSO"/>
    <x v="2"/>
    <d v="2026-02-11T00:00:00"/>
    <d v="2026-02-03T00:00:00"/>
    <n v="-443.56"/>
    <s v="AUDIBRADA"/>
    <m/>
    <m/>
    <m/>
  </r>
  <r>
    <x v="0"/>
    <x v="1"/>
    <s v="Ramon Ferrando"/>
    <x v="11"/>
    <s v="RFV15"/>
    <s v="Jean Franco Intraprendente Martini"/>
    <s v="APPLEWATCH"/>
    <x v="3"/>
    <m/>
    <d v="2026-02-02T00:00:00"/>
    <n v="-899"/>
    <s v="AUDICOST, S.L.U"/>
    <m/>
    <m/>
    <m/>
  </r>
  <r>
    <x v="0"/>
    <x v="1"/>
    <s v="Iván Sánchez"/>
    <x v="9"/>
    <s v="ISL54"/>
    <s v="José María Laborda Margolles"/>
    <s v="VIAJE A TANZANIA"/>
    <x v="6"/>
    <d v="2026-02-06T00:00:00"/>
    <d v="2026-02-06T00:00:00"/>
    <n v="-4000"/>
    <s v="AUDICANTE"/>
    <m/>
    <m/>
    <m/>
  </r>
  <r>
    <x v="0"/>
    <x v="1"/>
    <s v="Lisandro Russian"/>
    <x v="8"/>
    <s v="LRM264"/>
    <s v="Carmen Delgado Muñoz"/>
    <s v="IPHONE15"/>
    <x v="3"/>
    <m/>
    <d v="2026-01-27T00:00:00"/>
    <n v="-626.99"/>
    <s v="AUDICOST LOGROÑO "/>
    <m/>
    <m/>
    <m/>
  </r>
  <r>
    <x v="0"/>
    <x v="0"/>
    <s v="Lisandro Russian"/>
    <x v="12"/>
    <s v="LRM82"/>
    <s v="José Miguel Aparicio Fernández"/>
    <s v="CURSO PARA R4 TERESA CONDE GOMEZ-MENOR"/>
    <x v="2"/>
    <d v="2026-02-09T00:00:00"/>
    <d v="2026-01-14T00:00:00"/>
    <n v="-310.5"/>
    <s v="CLINICA DOS DE MAYO "/>
    <m/>
    <m/>
    <m/>
  </r>
  <r>
    <x v="1"/>
    <x v="1"/>
    <s v="Ramon Ferrando"/>
    <x v="9"/>
    <s v="ISL104"/>
    <s v="Isabel Polo Tomás"/>
    <s v="TRASLADO TREN"/>
    <x v="7"/>
    <d v="2026-02-10T00:00:00"/>
    <d v="2026-02-09T00:00:00"/>
    <n v="-84.52"/>
    <s v="AUDICANTE"/>
    <m/>
    <m/>
    <m/>
  </r>
  <r>
    <x v="0"/>
    <x v="1"/>
    <s v="Maika Blázquez"/>
    <x v="1"/>
    <s v="MBM26"/>
    <s v="Gerardo Monedero Rodrigo"/>
    <s v="CURSO"/>
    <x v="2"/>
    <m/>
    <d v="2026-02-09T00:00:00"/>
    <n v="-609.9"/>
    <s v="AUDIBRADA"/>
    <m/>
    <m/>
    <m/>
  </r>
  <r>
    <x v="0"/>
    <x v="1"/>
    <s v="Maika Blázquez"/>
    <x v="1"/>
    <s v="MBM96"/>
    <s v="Beatriz Santos Duque"/>
    <s v="CURSO"/>
    <x v="2"/>
    <m/>
    <d v="2026-02-09T00:00:00"/>
    <n v="-609.9"/>
    <s v="AUDIBRADA"/>
    <m/>
    <m/>
    <m/>
  </r>
  <r>
    <x v="0"/>
    <x v="1"/>
    <s v="Luis Alberto Rodríguez"/>
    <x v="4"/>
    <s v="LAA37"/>
    <s v="Miguel Rodriguez Pérez"/>
    <s v="ESTANCIA HOTEL"/>
    <x v="1"/>
    <m/>
    <d v="2026-02-09T00:00:00"/>
    <n v="-980.85"/>
    <s v="OIR VITAL CENTROS AUDITIVOS "/>
    <m/>
    <m/>
    <m/>
  </r>
  <r>
    <x v="1"/>
    <x v="1"/>
    <s v="Ramon Ferrando"/>
    <x v="9"/>
    <s v="ISL104"/>
    <s v="Isabel Polo Tomás"/>
    <s v="TRASLADO   "/>
    <x v="7"/>
    <m/>
    <d v="2026-01-13T00:00:00"/>
    <n v="-68.75"/>
    <s v="AUDICANTE"/>
    <m/>
    <m/>
    <m/>
  </r>
  <r>
    <x v="1"/>
    <x v="1"/>
    <s v="Ramon Ferrando"/>
    <x v="9"/>
    <s v="ISL104"/>
    <s v="Isabel Polo Tomás"/>
    <s v="TRASLADO   "/>
    <x v="7"/>
    <m/>
    <d v="2026-01-13T00:00:00"/>
    <n v="-630.47"/>
    <s v="AUDICANTE"/>
    <m/>
    <m/>
    <m/>
  </r>
  <r>
    <x v="0"/>
    <x v="1"/>
    <s v="Maika Blázquez"/>
    <x v="6"/>
    <s v="MBM69"/>
    <s v="Oscar A, Sánchez Valenzuela"/>
    <s v="MACBOOK PRO"/>
    <x v="3"/>
    <m/>
    <d v="2026-02-12T00:00:00"/>
    <n v="-3353.99"/>
    <s v="SIEMA BLINK, S.L"/>
    <m/>
    <m/>
    <m/>
  </r>
  <r>
    <x v="0"/>
    <x v="1"/>
    <s v="Maika Blázquez"/>
    <x v="3"/>
    <s v="MBM50"/>
    <s v="José Gustavo Barroso Braojos"/>
    <s v="PATROCINIO-VIAJE ISLANDIA"/>
    <x v="0"/>
    <d v="2026-02-12T00:00:00"/>
    <d v="2026-02-12T00:00:00"/>
    <n v="5025"/>
    <s v="AUDICOST, S.L.U"/>
    <m/>
    <m/>
    <m/>
  </r>
  <r>
    <x v="0"/>
    <x v="1"/>
    <s v="Maika Blázquez"/>
    <x v="2"/>
    <s v="MBM228"/>
    <s v="Daniel Rodríguez Ocaña"/>
    <s v="CURSO"/>
    <x v="2"/>
    <m/>
    <d v="2026-02-13T00:00:00"/>
    <n v="-1000"/>
    <s v="AUDIBRADA"/>
    <m/>
    <m/>
    <m/>
  </r>
  <r>
    <x v="0"/>
    <x v="1"/>
    <s v="Maika Blázquez"/>
    <x v="7"/>
    <s v="MBM229"/>
    <s v="Raquel de Lama Bermejo"/>
    <s v="CURSO"/>
    <x v="2"/>
    <m/>
    <d v="2026-02-18T00:00:00"/>
    <n v="-900"/>
    <s v="AUDICOST, S.L.U"/>
    <m/>
    <m/>
    <m/>
  </r>
  <r>
    <x v="1"/>
    <x v="1"/>
    <s v="Ramon Ferrando"/>
    <x v="9"/>
    <s v="ISL104"/>
    <s v="Isabel Polo Tomás"/>
    <s v="VIAJE A JAPON"/>
    <x v="5"/>
    <d v="2026-02-25T00:00:00"/>
    <d v="2026-02-20T00:00:00"/>
    <n v="-4957.1000000000004"/>
    <s v="AUDICANTE"/>
    <m/>
    <m/>
    <m/>
  </r>
  <r>
    <x v="0"/>
    <x v="1"/>
    <s v="Maika Blázquez"/>
    <x v="1"/>
    <s v="MBM230"/>
    <s v="Daniela Carrillo Moreno"/>
    <s v="CURSO"/>
    <x v="2"/>
    <m/>
    <d v="2026-02-25T00:00:00"/>
    <n v="-600"/>
    <s v="AUDIBRADA"/>
    <m/>
    <m/>
    <m/>
  </r>
  <r>
    <x v="2"/>
    <x v="1"/>
    <s v="Iván Sánchez"/>
    <x v="13"/>
    <s v="ISL14"/>
    <s v="Carlos Velásquez Fermín"/>
    <s v="CERRAMIENTO"/>
    <x v="8"/>
    <d v="2026-02-10T00:00:00"/>
    <m/>
    <n v="-2085.2399999999998"/>
    <s v="AUDICOST, S.L.U"/>
    <m/>
    <m/>
    <m/>
  </r>
  <r>
    <x v="0"/>
    <x v="1"/>
    <s v="Iván Sánchez"/>
    <x v="14"/>
    <s v="ISL24"/>
    <s v="Enrique López Meseguer"/>
    <s v="VIAJE A JORDANIA"/>
    <x v="5"/>
    <d v="2026-02-03T00:00:00"/>
    <m/>
    <n v="-3098"/>
    <s v="AUDICANTE"/>
    <m/>
    <m/>
    <m/>
  </r>
  <r>
    <x v="1"/>
    <x v="2"/>
    <s v="Ramon Ferrando"/>
    <x v="9"/>
    <s v="ISL104"/>
    <s v="Isabel Polo Tomás"/>
    <s v="HOTEL EN MADRID"/>
    <x v="1"/>
    <d v="2026-03-04T00:00:00"/>
    <d v="2026-03-03T00:00:00"/>
    <n v="-285.73"/>
    <s v="AUDICANTE"/>
    <m/>
    <m/>
    <m/>
  </r>
  <r>
    <x v="0"/>
    <x v="2"/>
    <s v="Iván Sánchez"/>
    <x v="15"/>
    <s v="ISL149"/>
    <s v="Ángel Onofre Pérez Coll"/>
    <s v="INSCRIPCION CURSO RINOPLASTIA"/>
    <x v="2"/>
    <m/>
    <d v="2026-03-05T00:00:00"/>
    <n v="2176.19"/>
    <s v="AUDICOST, S.L.U"/>
    <m/>
    <m/>
    <m/>
  </r>
  <r>
    <x v="0"/>
    <x v="2"/>
    <s v="Lisandro Russian"/>
    <x v="8"/>
    <s v="LRM249"/>
    <s v="Daniel Briones Crespo"/>
    <s v="VIAJE CONGRESO ATENAS"/>
    <x v="9"/>
    <d v="2026-03-13T00:00:00"/>
    <d v="2026-03-12T00:00:00"/>
    <n v="-4215.8599999999997"/>
    <s v="AUDICOST LOGROÑO "/>
    <m/>
    <m/>
    <m/>
  </r>
  <r>
    <x v="0"/>
    <x v="2"/>
    <s v="Maika Blázquez"/>
    <x v="3"/>
    <s v="MBM50"/>
    <s v="José Gustavo Barroso Braojos"/>
    <s v="CAMARA ACCION PARA ISLANDIA"/>
    <x v="0"/>
    <m/>
    <d v="2026-03-09T00:00:00"/>
    <n v="-699.99"/>
    <s v="AUDICOST, S.L.U"/>
    <m/>
    <m/>
    <m/>
  </r>
  <r>
    <x v="0"/>
    <x v="2"/>
    <s v="Maika Blázquez"/>
    <x v="3"/>
    <s v="MBM50"/>
    <s v="José Gustavo Barroso Braojos"/>
    <s v="KIT BICICLETA PARA ISLANDIA"/>
    <x v="0"/>
    <m/>
    <d v="2026-03-09T00:00:00"/>
    <n v="-62.99"/>
    <s v="AUDICOST, S.L.U"/>
    <m/>
    <m/>
    <m/>
  </r>
  <r>
    <x v="0"/>
    <x v="2"/>
    <s v="Maika Blázquez"/>
    <x v="3"/>
    <s v="MBM50"/>
    <s v="José Gustavo Barroso Braojos"/>
    <s v="CARCASA BUCEO PARA ISLANDIA"/>
    <x v="0"/>
    <m/>
    <d v="2026-03-09T00:00:00"/>
    <n v="-119.99"/>
    <s v="AUDICOST, S.L.U"/>
    <m/>
    <m/>
    <m/>
  </r>
  <r>
    <x v="0"/>
    <x v="2"/>
    <s v="Maika Blázquez"/>
    <x v="3"/>
    <s v="MBM50"/>
    <s v="José Gustavo Barroso Braojos"/>
    <s v="PRISMATICOS PARA ISLANDIA"/>
    <x v="0"/>
    <m/>
    <d v="2026-03-09T00:00:00"/>
    <n v="-399"/>
    <s v="AUDICOST, S.L.U"/>
    <m/>
    <m/>
    <m/>
  </r>
  <r>
    <x v="0"/>
    <x v="2"/>
    <s v="Maika Blázquez"/>
    <x v="3"/>
    <s v="MBM50"/>
    <s v="José Gustavo Barroso Braojos"/>
    <s v="LINTERNA PARA ISLANDIA"/>
    <x v="0"/>
    <m/>
    <d v="2026-03-09T00:00:00"/>
    <n v="-153.97"/>
    <s v="AUDICOST, S.L.U"/>
    <m/>
    <m/>
    <m/>
  </r>
  <r>
    <x v="0"/>
    <x v="2"/>
    <s v="Maika Blázquez"/>
    <x v="3"/>
    <s v="MBM50"/>
    <s v="José Gustavo Barroso Braojos"/>
    <s v="ESTUCHE LAPICES COLORES X 2"/>
    <x v="0"/>
    <m/>
    <d v="2026-03-09T00:00:00"/>
    <n v="-930"/>
    <s v="AUDICOST, S.L.U"/>
    <m/>
    <m/>
    <m/>
  </r>
  <r>
    <x v="0"/>
    <x v="2"/>
    <s v="Maika Blázquez"/>
    <x v="1"/>
    <s v="MBM223"/>
    <s v="Cristina Vaduva"/>
    <s v="ALQUILER PIEZO ELECTRICO"/>
    <x v="3"/>
    <d v="2026-03-11T00:00:00"/>
    <d v="2026-03-09T00:00:00"/>
    <n v="-2268.6"/>
    <s v="AUDIBRADA"/>
    <m/>
    <m/>
    <m/>
  </r>
  <r>
    <x v="2"/>
    <x v="2"/>
    <s v="Iván Sánchez"/>
    <x v="13"/>
    <s v="ISL14"/>
    <s v="Carlos Velásquez Fermín"/>
    <s v="CURSO"/>
    <x v="2"/>
    <d v="2026-03-13T00:00:00"/>
    <d v="2026-03-09T00:00:00"/>
    <n v="-568.70000000000005"/>
    <s v="AUDICOST, S.L.U"/>
    <m/>
    <m/>
    <m/>
  </r>
  <r>
    <x v="0"/>
    <x v="2"/>
    <s v="Iván Sánchez"/>
    <x v="13"/>
    <s v="ISL58"/>
    <s v="Juan Javier Álvarez López"/>
    <s v="IPHONE 17 PRO MAX 512 GB AZUL OSCURO"/>
    <x v="3"/>
    <m/>
    <d v="2026-03-09T00:00:00"/>
    <n v="-1719"/>
    <s v="AUDICOST, S.L.U"/>
    <m/>
    <m/>
    <m/>
  </r>
  <r>
    <x v="0"/>
    <x v="2"/>
    <s v="Iván Sánchez"/>
    <x v="13"/>
    <s v="ISL58"/>
    <s v="Juan Javier Álvarez López"/>
    <s v="ASPIRADOR ESCOBA"/>
    <x v="3"/>
    <m/>
    <d v="2026-03-09T00:00:00"/>
    <n v="-849"/>
    <s v="AUDICOST, S.L.U"/>
    <m/>
    <m/>
    <m/>
  </r>
  <r>
    <x v="0"/>
    <x v="2"/>
    <s v="Luis Alberto Rodríguez"/>
    <x v="0"/>
    <s v="LAA81"/>
    <s v="Manuel Tucciarone"/>
    <s v="HOTEL EN MADRID"/>
    <x v="1"/>
    <m/>
    <d v="2026-03-10T00:00:00"/>
    <n v="-1171.53"/>
    <s v="AUDICOST, S.L.U"/>
    <m/>
    <m/>
    <m/>
  </r>
  <r>
    <x v="0"/>
    <x v="2"/>
    <s v="Iván Sánchez"/>
    <x v="13"/>
    <s v="ISL142"/>
    <s v="Marina Pérez Grau"/>
    <s v="CURSO RINOPLASTIA"/>
    <x v="2"/>
    <d v="2026-03-13T00:00:00"/>
    <d v="2026-03-11T00:00:00"/>
    <n v="-2176.19"/>
    <s v="AUDICOST, S.L.U"/>
    <m/>
    <m/>
    <m/>
  </r>
  <r>
    <x v="0"/>
    <x v="2"/>
    <s v="Iván Sánchez"/>
    <x v="16"/>
    <s v="ISL105"/>
    <s v="Karen Rojas Crespo"/>
    <s v="CURSO"/>
    <x v="2"/>
    <d v="2026-03-25T00:00:00"/>
    <d v="2026-03-18T00:00:00"/>
    <n v="-599.52"/>
    <s v="AUDICANTE"/>
    <m/>
    <m/>
    <m/>
  </r>
  <r>
    <x v="0"/>
    <x v="2"/>
    <s v="Lisandro Russian"/>
    <x v="8"/>
    <s v="LRM261"/>
    <s v="Miguel Garikoitz Calzada Uriondo"/>
    <s v="ESTANCIA EN CHICLANA"/>
    <x v="1"/>
    <d v="2026-03-18T00:00:00"/>
    <m/>
    <m/>
    <s v="AUDICOST LOGROÑO "/>
    <m/>
    <m/>
    <m/>
  </r>
  <r>
    <x v="0"/>
    <x v="2"/>
    <s v="Maika Blázquez"/>
    <x v="3"/>
    <s v="MBM50"/>
    <s v="José Gustavo Barroso Braojos"/>
    <s v="ENTRADAS CIRCO SOL"/>
    <x v="0"/>
    <d v="2026-03-18T00:00:00"/>
    <m/>
    <m/>
    <s v="AUDICOST, S.L.U"/>
    <m/>
    <m/>
    <m/>
  </r>
  <r>
    <x v="2"/>
    <x v="2"/>
    <s v="Iván Sánchez"/>
    <x v="13"/>
    <s v="ISL14"/>
    <s v="Carlos Velásquez Fermín"/>
    <s v="HOTEL Y AVION"/>
    <x v="9"/>
    <d v="2026-03-25T00:00:00"/>
    <d v="2026-03-24T00:00:00"/>
    <n v="-2286.1"/>
    <s v="AUDICOST, S.L.U"/>
    <m/>
    <m/>
    <m/>
  </r>
  <r>
    <x v="0"/>
    <x v="2"/>
    <s v="Luis Alberto Rodríguez"/>
    <x v="4"/>
    <s v="LAA47"/>
    <s v="Estefanía Berrocal Postigo"/>
    <s v="REUNION OTORRINOS EN REPUBLICA DOMINICANA"/>
    <x v="5"/>
    <d v="2026-03-27T00:00:00"/>
    <d v="2026-03-26T00:00:00"/>
    <n v="-13700"/>
    <s v="OIR VITAL CENTROS AUDITIVOS "/>
    <m/>
    <m/>
    <m/>
  </r>
  <r>
    <x v="0"/>
    <x v="2"/>
    <s v="Ramon Ferrando"/>
    <x v="10"/>
    <s v="RFV26"/>
    <s v="Ainhoa García-Lliberos de Miguel"/>
    <s v="INSCRIPION CONGRESO"/>
    <x v="2"/>
    <d v="2026-03-27T00:00:00"/>
    <d v="2026-03-26T00:00:00"/>
    <n v="-490.51"/>
    <s v="AUDICANTE"/>
    <m/>
    <m/>
    <m/>
  </r>
  <r>
    <x v="2"/>
    <x v="2"/>
    <s v="Iván Sánchez"/>
    <x v="16"/>
    <s v="ISL14"/>
    <s v="Carlos Velásquez Fermín"/>
    <s v="TRASLADO"/>
    <x v="7"/>
    <d v="2026-03-31T00:00:00"/>
    <d v="2026-03-30T00:00:00"/>
    <n v="-856.98"/>
    <s v="AUDICANTE"/>
    <m/>
    <m/>
    <m/>
  </r>
  <r>
    <x v="0"/>
    <x v="2"/>
    <s v="Iván Sánchez"/>
    <x v="14"/>
    <s v="ISL24"/>
    <s v="Enrique López Meseguer"/>
    <s v="VIAJE CAMINO SANTIAGO-DEPOSITO DEL 20%"/>
    <x v="10"/>
    <d v="2026-03-31T00:00:00"/>
    <d v="2026-03-31T00:00:00"/>
    <n v="-318"/>
    <s v="AUDICANTE"/>
    <m/>
    <m/>
    <m/>
  </r>
  <r>
    <x v="0"/>
    <x v="2"/>
    <s v="Maika Blázquez"/>
    <x v="6"/>
    <s v="MBM231"/>
    <s v="Itziar Jimenez Gomez"/>
    <s v="CURSO"/>
    <x v="2"/>
    <m/>
    <d v="2026-03-30T00:00:00"/>
    <n v="-600"/>
    <s v="SIEMA BLINK, S.L"/>
    <m/>
    <m/>
    <m/>
  </r>
  <r>
    <x v="0"/>
    <x v="0"/>
    <s v="Lisandro Russian"/>
    <x v="7"/>
    <s v="LRM239"/>
    <s v="Carlos Barajas Del Rosal"/>
    <s v="COSTES DE EMPLEADA-ENERO"/>
    <x v="11"/>
    <s v=" "/>
    <m/>
    <n v="-1398.88"/>
    <s v="AUDICOST, S.L.U"/>
    <m/>
    <m/>
    <m/>
  </r>
  <r>
    <x v="0"/>
    <x v="1"/>
    <s v="Lisandro Russian"/>
    <x v="7"/>
    <s v="LRM239"/>
    <s v="Carlos Barajas Del Rosal"/>
    <s v="COSTES DE EMPLEADA-FEBRERO"/>
    <x v="11"/>
    <s v=" "/>
    <m/>
    <n v="-1398.88"/>
    <s v="AUDICOST, S.L.U"/>
    <m/>
    <m/>
    <m/>
  </r>
  <r>
    <x v="0"/>
    <x v="2"/>
    <s v="Lisandro Russian"/>
    <x v="7"/>
    <s v="LRM239"/>
    <s v="Carlos Barajas Del Rosal"/>
    <s v="COSTES DE EMPLEADA-MARZO"/>
    <x v="11"/>
    <s v=" "/>
    <m/>
    <n v="-1398.88"/>
    <s v="AUDICOST, S.L.U"/>
    <m/>
    <m/>
    <m/>
  </r>
  <r>
    <x v="0"/>
    <x v="3"/>
    <s v="Iván Sánchez"/>
    <x v="13"/>
    <s v="ISL58"/>
    <s v="Juan Javier Álvarez López"/>
    <s v="TV+SOPORTE"/>
    <x v="3"/>
    <d v="2026-04-07T00:00:00"/>
    <d v="2026-04-06T00:00:00"/>
    <n v="-1400.42"/>
    <s v="AUDICOST, S.L.U"/>
    <m/>
    <m/>
    <m/>
  </r>
  <r>
    <x v="0"/>
    <x v="3"/>
    <s v="Luis Alberto Rodríguez"/>
    <x v="4"/>
    <s v="LAA08"/>
    <s v="David Castro Gutiérrez de Agüero"/>
    <s v="PORTATIL MEDIA MARKT"/>
    <x v="3"/>
    <d v="2026-04-08T00:00:00"/>
    <d v="2026-04-08T00:00:00"/>
    <n v="-899"/>
    <s v="OIR VITAL CENTROS AUDITIVOS "/>
    <m/>
    <m/>
    <m/>
  </r>
  <r>
    <x v="3"/>
    <x v="4"/>
    <s v=""/>
    <x v="17"/>
    <s v=""/>
    <m/>
    <m/>
    <x v="12"/>
    <m/>
    <m/>
    <m/>
    <s v="Empresa"/>
    <m/>
    <m/>
    <m/>
  </r>
  <r>
    <x v="3"/>
    <x v="5"/>
    <s v=""/>
    <x v="17"/>
    <s v=""/>
    <m/>
    <m/>
    <x v="12"/>
    <m/>
    <m/>
    <m/>
    <s v="Empresa"/>
    <m/>
    <m/>
    <m/>
  </r>
  <r>
    <x v="3"/>
    <x v="6"/>
    <s v=""/>
    <x v="17"/>
    <s v=""/>
    <m/>
    <m/>
    <x v="12"/>
    <m/>
    <m/>
    <m/>
    <s v="Empresa"/>
    <m/>
    <m/>
    <m/>
  </r>
  <r>
    <x v="3"/>
    <x v="7"/>
    <s v=""/>
    <x v="17"/>
    <s v=""/>
    <m/>
    <m/>
    <x v="12"/>
    <m/>
    <m/>
    <m/>
    <s v="Empresa"/>
    <m/>
    <m/>
    <m/>
  </r>
  <r>
    <x v="3"/>
    <x v="8"/>
    <s v=""/>
    <x v="17"/>
    <s v=""/>
    <m/>
    <m/>
    <x v="12"/>
    <m/>
    <m/>
    <m/>
    <s v="Empresa"/>
    <m/>
    <m/>
    <m/>
  </r>
  <r>
    <x v="3"/>
    <x v="9"/>
    <s v=""/>
    <x v="17"/>
    <s v=""/>
    <m/>
    <m/>
    <x v="12"/>
    <m/>
    <m/>
    <m/>
    <s v="Empresa"/>
    <m/>
    <m/>
    <m/>
  </r>
  <r>
    <x v="3"/>
    <x v="10"/>
    <s v=""/>
    <x v="17"/>
    <s v=""/>
    <m/>
    <m/>
    <x v="12"/>
    <m/>
    <m/>
    <m/>
    <s v="Empresa"/>
    <m/>
    <m/>
    <m/>
  </r>
  <r>
    <x v="3"/>
    <x v="11"/>
    <s v=""/>
    <x v="17"/>
    <s v=""/>
    <m/>
    <m/>
    <x v="12"/>
    <m/>
    <m/>
    <m/>
    <s v="Empresa"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3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  <r>
    <x v="4"/>
    <x v="12"/>
    <m/>
    <x v="18"/>
    <m/>
    <m/>
    <m/>
    <x v="12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NO"/>
    <x v="0"/>
    <s v="Luis Alberto Rodríguez"/>
    <x v="0"/>
    <x v="0"/>
    <x v="0"/>
    <s v="PATROCINIO"/>
    <x v="0"/>
    <m/>
    <d v="2026-01-12T00:00:00"/>
    <n v="-4432"/>
    <s v="AUDICOST, S.L.U"/>
    <m/>
    <m/>
    <m/>
    <m/>
    <m/>
    <m/>
    <m/>
    <m/>
    <m/>
    <m/>
    <m/>
    <m/>
    <m/>
    <m/>
    <m/>
    <m/>
  </r>
  <r>
    <s v="NO"/>
    <x v="0"/>
    <s v="Maika Blázquez"/>
    <x v="1"/>
    <x v="1"/>
    <x v="1"/>
    <s v="AIRBNB"/>
    <x v="1"/>
    <d v="2026-01-14T00:00:00"/>
    <d v="2026-01-12T00:00:00"/>
    <n v="-1700"/>
    <s v="AUDIBRADA"/>
    <m/>
    <m/>
    <m/>
    <m/>
    <m/>
    <m/>
    <m/>
    <m/>
    <m/>
    <m/>
    <m/>
    <m/>
    <m/>
    <m/>
    <m/>
    <m/>
  </r>
  <r>
    <s v="NO"/>
    <x v="0"/>
    <s v="Maika Blázquez"/>
    <x v="2"/>
    <x v="2"/>
    <x v="2"/>
    <s v="INSCRIPCION CURSO MICROCIRUGIA"/>
    <x v="2"/>
    <m/>
    <d v="2026-01-13T00:00:00"/>
    <n v="-1663.35"/>
    <s v="AUDIBRADA"/>
    <m/>
    <m/>
    <m/>
    <m/>
    <m/>
    <m/>
    <m/>
    <m/>
    <m/>
    <m/>
    <m/>
    <m/>
    <m/>
    <m/>
    <m/>
    <m/>
  </r>
  <r>
    <s v="NO"/>
    <x v="0"/>
    <s v="Maika Blázquez"/>
    <x v="2"/>
    <x v="3"/>
    <x v="3"/>
    <s v="INSCRIPCION CURSO MICROCIRUGIA"/>
    <x v="2"/>
    <m/>
    <d v="2026-01-13T00:00:00"/>
    <n v="-1663.35"/>
    <s v="AUDIBRADA"/>
    <m/>
    <m/>
    <m/>
    <m/>
    <m/>
    <m/>
    <m/>
    <m/>
    <m/>
    <m/>
    <m/>
    <m/>
    <m/>
    <m/>
    <m/>
    <m/>
  </r>
  <r>
    <s v="NO"/>
    <x v="0"/>
    <s v="Maika Blázquez"/>
    <x v="3"/>
    <x v="4"/>
    <x v="4"/>
    <s v="2 SMARTWATCH"/>
    <x v="3"/>
    <d v="2026-01-14T00:00:00"/>
    <d v="2026-01-13T00:00:00"/>
    <n v="-899.98"/>
    <s v="AUDICOST, S.L.U"/>
    <m/>
    <m/>
    <m/>
    <m/>
    <m/>
    <m/>
    <m/>
    <m/>
    <m/>
    <m/>
    <m/>
    <m/>
    <m/>
    <m/>
    <m/>
    <m/>
  </r>
  <r>
    <s v="NO"/>
    <x v="0"/>
    <s v="Luis Alberto Rodríguez"/>
    <x v="4"/>
    <x v="5"/>
    <x v="5"/>
    <s v="IPHONE17 PRO"/>
    <x v="3"/>
    <d v="2026-01-20T00:00:00"/>
    <d v="2026-01-15T00:00:00"/>
    <n v="-1289"/>
    <s v="OIR VITAL CENTROS AUDITIVOS "/>
    <m/>
    <m/>
    <m/>
    <m/>
    <m/>
    <m/>
    <m/>
    <m/>
    <m/>
    <m/>
    <m/>
    <m/>
    <m/>
    <m/>
    <m/>
    <m/>
  </r>
  <r>
    <s v="NO"/>
    <x v="0"/>
    <s v="Maika Blázquez"/>
    <x v="5"/>
    <x v="6"/>
    <x v="6"/>
    <s v="INSCRIPCION, VUELO Y HOTEL-MAYOR IMPORTE DICBRE."/>
    <x v="2"/>
    <d v="2026-01-20T00:00:00"/>
    <d v="2026-01-19T00:00:00"/>
    <n v="-205.75"/>
    <s v="AUDICOST LEGANES"/>
    <m/>
    <m/>
    <m/>
    <m/>
    <m/>
    <m/>
    <m/>
    <m/>
    <m/>
    <m/>
    <m/>
    <m/>
    <m/>
    <m/>
    <m/>
    <m/>
  </r>
  <r>
    <s v="NO"/>
    <x v="0"/>
    <s v="Maika Blázquez"/>
    <x v="6"/>
    <x v="7"/>
    <x v="7"/>
    <s v="MESA"/>
    <x v="4"/>
    <d v="2026-01-22T00:00:00"/>
    <d v="2026-01-20T00:00:00"/>
    <n v="-973"/>
    <s v="SIEMA BLINK, S.L"/>
    <m/>
    <m/>
    <m/>
    <m/>
    <m/>
    <m/>
    <m/>
    <m/>
    <m/>
    <m/>
    <m/>
    <m/>
    <m/>
    <m/>
    <m/>
    <m/>
  </r>
  <r>
    <s v="NO"/>
    <x v="0"/>
    <s v="Maika Blázquez"/>
    <x v="2"/>
    <x v="8"/>
    <x v="8"/>
    <s v="CURSO 2"/>
    <x v="2"/>
    <s v=" "/>
    <d v="2026-01-21T00:00:00"/>
    <n v="-1386.13"/>
    <s v="AUDIBRADA"/>
    <m/>
    <m/>
    <m/>
    <m/>
    <m/>
    <m/>
    <m/>
    <m/>
    <m/>
    <m/>
    <m/>
    <m/>
    <m/>
    <m/>
    <m/>
    <m/>
  </r>
  <r>
    <s v="NO"/>
    <x v="0"/>
    <s v="Maika Blázquez"/>
    <x v="2"/>
    <x v="8"/>
    <x v="8"/>
    <s v="CURSO 1"/>
    <x v="2"/>
    <s v=" "/>
    <d v="2026-01-21T00:00:00"/>
    <n v="-1386.13"/>
    <s v="AUDIBRADA"/>
    <m/>
    <m/>
    <m/>
    <m/>
    <m/>
    <m/>
    <m/>
    <m/>
    <m/>
    <m/>
    <m/>
    <m/>
    <m/>
    <m/>
    <m/>
    <m/>
  </r>
  <r>
    <s v="NO"/>
    <x v="0"/>
    <s v="Maika Blázquez"/>
    <x v="7"/>
    <x v="9"/>
    <x v="9"/>
    <s v="CURSO"/>
    <x v="2"/>
    <d v="2026-01-21T00:00:00"/>
    <d v="2026-01-21T00:00:00"/>
    <n v="-600"/>
    <s v="AUDICOST, S.L.U"/>
    <m/>
    <m/>
    <m/>
    <m/>
    <m/>
    <m/>
    <m/>
    <m/>
    <m/>
    <m/>
    <m/>
    <m/>
    <m/>
    <m/>
    <m/>
    <m/>
  </r>
  <r>
    <s v="NO"/>
    <x v="0"/>
    <s v="Lisandro Russian"/>
    <x v="8"/>
    <x v="10"/>
    <x v="10"/>
    <s v="CONGRESO ATENAS"/>
    <x v="5"/>
    <d v="2026-02-05T00:00:00"/>
    <d v="2026-01-22T00:00:00"/>
    <n v="-4701.07"/>
    <s v="AUDICOST LOGROÑO "/>
    <m/>
    <m/>
    <m/>
    <m/>
    <m/>
    <m/>
    <m/>
    <m/>
    <m/>
    <m/>
    <m/>
    <m/>
    <m/>
    <m/>
    <m/>
    <m/>
  </r>
  <r>
    <s v="NO"/>
    <x v="0"/>
    <s v="Ramon Ferrando"/>
    <x v="9"/>
    <x v="11"/>
    <x v="11"/>
    <s v="IPHONE17 "/>
    <x v="3"/>
    <m/>
    <d v="2026-01-23T00:00:00"/>
    <n v="-1500"/>
    <s v="AUDICANTE"/>
    <m/>
    <m/>
    <m/>
    <m/>
    <m/>
    <m/>
    <m/>
    <m/>
    <m/>
    <m/>
    <m/>
    <m/>
    <m/>
    <m/>
    <m/>
    <m/>
  </r>
  <r>
    <s v="NO"/>
    <x v="0"/>
    <s v="Maika Blázquez"/>
    <x v="5"/>
    <x v="12"/>
    <x v="12"/>
    <s v="CURSO"/>
    <x v="2"/>
    <m/>
    <m/>
    <m/>
    <s v="AUDICOST LEGANES"/>
    <m/>
    <m/>
    <m/>
    <m/>
    <m/>
    <m/>
    <m/>
    <m/>
    <m/>
    <m/>
    <m/>
    <m/>
    <m/>
    <m/>
    <m/>
    <m/>
  </r>
  <r>
    <s v="NO"/>
    <x v="0"/>
    <s v="Ramon Ferrando"/>
    <x v="10"/>
    <x v="13"/>
    <x v="13"/>
    <s v="CURSO"/>
    <x v="2"/>
    <d v="2026-02-05T00:00:00"/>
    <d v="2026-01-27T00:00:00"/>
    <n v="-133.07"/>
    <s v="AUDICANTE"/>
    <m/>
    <m/>
    <m/>
    <m/>
    <m/>
    <m/>
    <m/>
    <m/>
    <m/>
    <m/>
    <m/>
    <m/>
    <m/>
    <m/>
    <m/>
    <m/>
  </r>
  <r>
    <s v="NO"/>
    <x v="1"/>
    <s v="Maika Blázquez"/>
    <x v="5"/>
    <x v="14"/>
    <x v="14"/>
    <s v="CURSO"/>
    <x v="2"/>
    <d v="2026-02-09T00:00:00"/>
    <d v="2026-02-03T00:00:00"/>
    <n v="-2772.25"/>
    <s v="AUDICOST LEGANES"/>
    <m/>
    <m/>
    <m/>
    <m/>
    <m/>
    <m/>
    <m/>
    <m/>
    <m/>
    <m/>
    <m/>
    <m/>
    <m/>
    <m/>
    <m/>
    <m/>
  </r>
  <r>
    <s v="NO"/>
    <x v="1"/>
    <s v="Maika Blázquez"/>
    <x v="2"/>
    <x v="15"/>
    <x v="15"/>
    <s v="CURSO"/>
    <x v="2"/>
    <d v="2026-02-11T00:00:00"/>
    <d v="2026-02-03T00:00:00"/>
    <n v="-443.56"/>
    <s v="AUDIBRADA"/>
    <m/>
    <m/>
    <m/>
    <m/>
    <m/>
    <m/>
    <m/>
    <m/>
    <m/>
    <m/>
    <m/>
    <m/>
    <m/>
    <m/>
    <m/>
    <m/>
  </r>
  <r>
    <s v="NO"/>
    <x v="1"/>
    <s v="Ramon Ferrando"/>
    <x v="11"/>
    <x v="16"/>
    <x v="16"/>
    <s v="APPLEWATCH"/>
    <x v="3"/>
    <m/>
    <d v="2026-02-02T00:00:00"/>
    <n v="-899"/>
    <s v="AUDICOST, S.L.U"/>
    <m/>
    <m/>
    <m/>
    <m/>
    <m/>
    <m/>
    <m/>
    <m/>
    <m/>
    <m/>
    <m/>
    <m/>
    <m/>
    <m/>
    <m/>
    <m/>
  </r>
  <r>
    <s v="NO"/>
    <x v="1"/>
    <s v="Iván Sánchez"/>
    <x v="9"/>
    <x v="17"/>
    <x v="17"/>
    <s v="VIAJE A TANZANIA"/>
    <x v="6"/>
    <d v="2026-02-06T00:00:00"/>
    <d v="2026-02-06T00:00:00"/>
    <n v="-4000"/>
    <s v="AUDICANTE"/>
    <m/>
    <m/>
    <m/>
    <m/>
    <m/>
    <m/>
    <m/>
    <m/>
    <m/>
    <m/>
    <m/>
    <m/>
    <m/>
    <m/>
    <m/>
    <m/>
  </r>
  <r>
    <s v="NO"/>
    <x v="1"/>
    <s v="Lisandro Russian"/>
    <x v="8"/>
    <x v="18"/>
    <x v="18"/>
    <s v="IPHONE15"/>
    <x v="3"/>
    <m/>
    <d v="2026-01-27T00:00:00"/>
    <n v="-626.99"/>
    <s v="AUDICOST LOGROÑO "/>
    <m/>
    <m/>
    <m/>
    <m/>
    <m/>
    <m/>
    <m/>
    <m/>
    <m/>
    <m/>
    <m/>
    <m/>
    <m/>
    <m/>
    <m/>
    <m/>
  </r>
  <r>
    <s v="NO"/>
    <x v="0"/>
    <s v="Lisandro Russian"/>
    <x v="12"/>
    <x v="19"/>
    <x v="19"/>
    <s v="CURSO PARA R4 TERESA CONDE GOMEZ-MENOR"/>
    <x v="2"/>
    <d v="2026-02-09T00:00:00"/>
    <d v="2026-01-14T00:00:00"/>
    <n v="-310.5"/>
    <s v="CLINICA DOS DE MAYO "/>
    <m/>
    <m/>
    <m/>
    <m/>
    <m/>
    <m/>
    <m/>
    <m/>
    <m/>
    <m/>
    <m/>
    <m/>
    <m/>
    <m/>
    <m/>
    <m/>
  </r>
  <r>
    <s v="ISL104"/>
    <x v="1"/>
    <s v="Ramon Ferrando"/>
    <x v="9"/>
    <x v="20"/>
    <x v="20"/>
    <s v="TRASLADO TREN"/>
    <x v="7"/>
    <d v="2026-02-10T00:00:00"/>
    <d v="2026-02-09T00:00:00"/>
    <n v="-84.52"/>
    <s v="AUDICANTE"/>
    <m/>
    <m/>
    <m/>
    <m/>
    <m/>
    <m/>
    <m/>
    <m/>
    <m/>
    <m/>
    <m/>
    <m/>
    <m/>
    <m/>
    <m/>
    <m/>
  </r>
  <r>
    <s v="NO"/>
    <x v="1"/>
    <s v="Maika Blázquez"/>
    <x v="1"/>
    <x v="21"/>
    <x v="21"/>
    <s v="CURSO"/>
    <x v="2"/>
    <m/>
    <d v="2026-02-09T00:00:00"/>
    <n v="-609.9"/>
    <s v="AUDIBRADA"/>
    <m/>
    <m/>
    <m/>
    <m/>
    <m/>
    <m/>
    <m/>
    <m/>
    <m/>
    <m/>
    <m/>
    <m/>
    <m/>
    <m/>
    <m/>
    <m/>
  </r>
  <r>
    <s v="NO"/>
    <x v="1"/>
    <s v="Maika Blázquez"/>
    <x v="1"/>
    <x v="22"/>
    <x v="22"/>
    <s v="CURSO"/>
    <x v="2"/>
    <m/>
    <d v="2026-02-09T00:00:00"/>
    <n v="-609.9"/>
    <s v="AUDIBRADA"/>
    <m/>
    <m/>
    <m/>
    <m/>
    <m/>
    <m/>
    <m/>
    <m/>
    <m/>
    <m/>
    <m/>
    <m/>
    <m/>
    <m/>
    <m/>
    <m/>
  </r>
  <r>
    <s v="NO"/>
    <x v="1"/>
    <s v="Luis Alberto Rodríguez"/>
    <x v="4"/>
    <x v="23"/>
    <x v="23"/>
    <s v="ESTANCIA HOTEL"/>
    <x v="1"/>
    <m/>
    <d v="2026-02-09T00:00:00"/>
    <n v="-980.85"/>
    <s v="OIR VITAL CENTROS AUDITIVOS "/>
    <m/>
    <m/>
    <m/>
    <m/>
    <m/>
    <m/>
    <m/>
    <m/>
    <m/>
    <m/>
    <m/>
    <m/>
    <m/>
    <m/>
    <m/>
    <m/>
  </r>
  <r>
    <s v="ISL104"/>
    <x v="1"/>
    <s v="Ramon Ferrando"/>
    <x v="9"/>
    <x v="20"/>
    <x v="20"/>
    <s v="TRASLADO   "/>
    <x v="7"/>
    <m/>
    <d v="2026-01-13T00:00:00"/>
    <n v="-68.75"/>
    <s v="AUDICANTE"/>
    <m/>
    <m/>
    <m/>
    <m/>
    <m/>
    <m/>
    <m/>
    <m/>
    <m/>
    <m/>
    <m/>
    <m/>
    <m/>
    <m/>
    <m/>
    <m/>
  </r>
  <r>
    <s v="ISL104"/>
    <x v="1"/>
    <s v="Ramon Ferrando"/>
    <x v="9"/>
    <x v="20"/>
    <x v="20"/>
    <s v="TRASLADO   "/>
    <x v="7"/>
    <m/>
    <d v="2026-01-13T00:00:00"/>
    <n v="-630.47"/>
    <s v="AUDICANTE"/>
    <m/>
    <m/>
    <m/>
    <m/>
    <m/>
    <m/>
    <m/>
    <m/>
    <m/>
    <m/>
    <m/>
    <m/>
    <m/>
    <m/>
    <m/>
    <m/>
  </r>
  <r>
    <s v="NO"/>
    <x v="1"/>
    <s v="Maika Blázquez"/>
    <x v="6"/>
    <x v="24"/>
    <x v="24"/>
    <s v="MACBOOK PRO"/>
    <x v="3"/>
    <m/>
    <d v="2026-02-12T00:00:00"/>
    <n v="-3353.99"/>
    <s v="SIEMA BLINK, S.L"/>
    <m/>
    <m/>
    <m/>
    <m/>
    <m/>
    <m/>
    <m/>
    <m/>
    <m/>
    <m/>
    <m/>
    <m/>
    <m/>
    <m/>
    <m/>
    <m/>
  </r>
  <r>
    <s v="NO"/>
    <x v="1"/>
    <s v="Maika Blázquez"/>
    <x v="3"/>
    <x v="4"/>
    <x v="4"/>
    <s v="PATROCINIO-VIAJE ISLANDIA"/>
    <x v="0"/>
    <d v="2026-02-12T00:00:00"/>
    <d v="2026-02-12T00:00:00"/>
    <n v="5025"/>
    <s v="AUDICOST, S.L.U"/>
    <m/>
    <m/>
    <m/>
    <m/>
    <m/>
    <m/>
    <m/>
    <m/>
    <m/>
    <m/>
    <m/>
    <m/>
    <m/>
    <m/>
    <m/>
    <m/>
  </r>
  <r>
    <s v="NO"/>
    <x v="1"/>
    <s v="Maika Blázquez"/>
    <x v="2"/>
    <x v="25"/>
    <x v="25"/>
    <s v="CURSO"/>
    <x v="2"/>
    <m/>
    <d v="2026-02-13T00:00:00"/>
    <n v="-1000"/>
    <s v="AUDIBRADA"/>
    <m/>
    <m/>
    <m/>
    <m/>
    <m/>
    <m/>
    <m/>
    <m/>
    <m/>
    <m/>
    <m/>
    <m/>
    <m/>
    <m/>
    <m/>
    <m/>
  </r>
  <r>
    <s v="NO"/>
    <x v="1"/>
    <s v="Maika Blázquez"/>
    <x v="7"/>
    <x v="26"/>
    <x v="26"/>
    <s v="CURSO"/>
    <x v="2"/>
    <m/>
    <d v="2026-02-18T00:00:00"/>
    <n v="-900"/>
    <s v="AUDICOST, S.L.U"/>
    <m/>
    <m/>
    <m/>
    <m/>
    <m/>
    <m/>
    <m/>
    <m/>
    <m/>
    <m/>
    <m/>
    <m/>
    <m/>
    <m/>
    <m/>
    <m/>
  </r>
  <r>
    <s v="ISL104"/>
    <x v="1"/>
    <s v="Ramon Ferrando"/>
    <x v="9"/>
    <x v="20"/>
    <x v="20"/>
    <s v="VIAJE A JAPON"/>
    <x v="5"/>
    <d v="2026-02-25T00:00:00"/>
    <d v="2026-02-20T00:00:00"/>
    <n v="-4957.1000000000004"/>
    <s v="AUDICANTE"/>
    <m/>
    <m/>
    <m/>
    <m/>
    <m/>
    <m/>
    <m/>
    <m/>
    <m/>
    <m/>
    <m/>
    <m/>
    <m/>
    <m/>
    <m/>
    <m/>
  </r>
  <r>
    <s v="NO"/>
    <x v="1"/>
    <s v="Maika Blázquez"/>
    <x v="1"/>
    <x v="27"/>
    <x v="27"/>
    <s v="CURSO"/>
    <x v="2"/>
    <m/>
    <d v="2026-02-25T00:00:00"/>
    <n v="-600"/>
    <s v="AUDIBRADA"/>
    <m/>
    <m/>
    <m/>
    <m/>
    <m/>
    <m/>
    <m/>
    <m/>
    <m/>
    <m/>
    <m/>
    <m/>
    <m/>
    <m/>
    <m/>
    <m/>
  </r>
  <r>
    <s v="ISL14"/>
    <x v="1"/>
    <s v="Iván Sánchez"/>
    <x v="13"/>
    <x v="28"/>
    <x v="28"/>
    <s v="CERRAMIENTO"/>
    <x v="8"/>
    <d v="2026-02-10T00:00:00"/>
    <m/>
    <n v="-2085.2399999999998"/>
    <s v="AUDICOST, S.L.U"/>
    <m/>
    <m/>
    <m/>
    <m/>
    <m/>
    <m/>
    <m/>
    <m/>
    <m/>
    <m/>
    <m/>
    <m/>
    <m/>
    <m/>
    <m/>
    <m/>
  </r>
  <r>
    <s v="NO"/>
    <x v="1"/>
    <s v="Iván Sánchez"/>
    <x v="14"/>
    <x v="29"/>
    <x v="29"/>
    <s v="VIAJE A JORDANIA"/>
    <x v="5"/>
    <d v="2026-02-03T00:00:00"/>
    <m/>
    <n v="-3098"/>
    <s v="AUDICANTE"/>
    <m/>
    <m/>
    <m/>
    <m/>
    <m/>
    <m/>
    <m/>
    <m/>
    <m/>
    <m/>
    <m/>
    <m/>
    <m/>
    <m/>
    <m/>
    <m/>
  </r>
  <r>
    <s v="ISL104"/>
    <x v="2"/>
    <s v="Ramon Ferrando"/>
    <x v="9"/>
    <x v="20"/>
    <x v="20"/>
    <s v="HOTEL EN MADRID"/>
    <x v="1"/>
    <d v="2026-03-04T00:00:00"/>
    <d v="2026-03-03T00:00:00"/>
    <n v="-285.73"/>
    <s v="AUDICANTE"/>
    <m/>
    <m/>
    <m/>
    <m/>
    <m/>
    <m/>
    <m/>
    <m/>
    <m/>
    <m/>
    <m/>
    <m/>
    <m/>
    <m/>
    <m/>
    <m/>
  </r>
  <r>
    <s v="NO"/>
    <x v="2"/>
    <s v="Iván Sánchez"/>
    <x v="15"/>
    <x v="30"/>
    <x v="30"/>
    <s v="INSCRIPCION CURSO RINOPLASTIA"/>
    <x v="2"/>
    <m/>
    <d v="2026-03-05T00:00:00"/>
    <n v="2176.19"/>
    <s v="AUDICOST, S.L.U"/>
    <m/>
    <m/>
    <m/>
    <m/>
    <m/>
    <m/>
    <m/>
    <m/>
    <m/>
    <m/>
    <m/>
    <m/>
    <m/>
    <m/>
    <m/>
    <m/>
  </r>
  <r>
    <s v="NO"/>
    <x v="2"/>
    <s v="Lisandro Russian"/>
    <x v="8"/>
    <x v="31"/>
    <x v="31"/>
    <s v="VIAJE CONGRESO ATENAS"/>
    <x v="9"/>
    <d v="2026-03-13T00:00:00"/>
    <d v="2026-03-12T00:00:00"/>
    <n v="-4215.8599999999997"/>
    <s v="AUDICOST LOGROÑO "/>
    <m/>
    <m/>
    <m/>
    <m/>
    <m/>
    <m/>
    <m/>
    <m/>
    <m/>
    <m/>
    <m/>
    <m/>
    <m/>
    <m/>
    <m/>
    <m/>
  </r>
  <r>
    <s v="NO"/>
    <x v="2"/>
    <s v="Maika Blázquez"/>
    <x v="3"/>
    <x v="4"/>
    <x v="4"/>
    <s v="CAMARA ACCION PARA ISLANDIA"/>
    <x v="0"/>
    <m/>
    <d v="2026-03-09T00:00:00"/>
    <n v="-699.99"/>
    <s v="AUDICOST, S.L.U"/>
    <m/>
    <m/>
    <m/>
    <m/>
    <m/>
    <m/>
    <m/>
    <m/>
    <m/>
    <m/>
    <m/>
    <m/>
    <m/>
    <m/>
    <m/>
    <m/>
  </r>
  <r>
    <s v="NO"/>
    <x v="2"/>
    <s v="Maika Blázquez"/>
    <x v="3"/>
    <x v="4"/>
    <x v="4"/>
    <s v="KIT BICICLETA PARA ISLANDIA"/>
    <x v="0"/>
    <m/>
    <d v="2026-03-09T00:00:00"/>
    <n v="-62.99"/>
    <s v="AUDICOST, S.L.U"/>
    <m/>
    <m/>
    <m/>
    <m/>
    <m/>
    <m/>
    <m/>
    <m/>
    <m/>
    <m/>
    <m/>
    <m/>
    <m/>
    <m/>
    <m/>
    <m/>
  </r>
  <r>
    <s v="NO"/>
    <x v="2"/>
    <s v="Maika Blázquez"/>
    <x v="3"/>
    <x v="4"/>
    <x v="4"/>
    <s v="CARCASA BUCEO PARA ISLANDIA"/>
    <x v="0"/>
    <m/>
    <d v="2026-03-09T00:00:00"/>
    <n v="-119.99"/>
    <s v="AUDICOST, S.L.U"/>
    <m/>
    <m/>
    <m/>
    <m/>
    <m/>
    <m/>
    <m/>
    <m/>
    <m/>
    <m/>
    <m/>
    <m/>
    <m/>
    <m/>
    <m/>
    <m/>
  </r>
  <r>
    <s v="NO"/>
    <x v="2"/>
    <s v="Maika Blázquez"/>
    <x v="3"/>
    <x v="4"/>
    <x v="4"/>
    <s v="PRISMATICOS PARA ISLANDIA"/>
    <x v="0"/>
    <m/>
    <d v="2026-03-09T00:00:00"/>
    <n v="-399"/>
    <s v="AUDICOST, S.L.U"/>
    <m/>
    <m/>
    <m/>
    <m/>
    <m/>
    <m/>
    <m/>
    <m/>
    <m/>
    <m/>
    <m/>
    <m/>
    <m/>
    <m/>
    <m/>
    <m/>
  </r>
  <r>
    <s v="NO"/>
    <x v="2"/>
    <s v="Maika Blázquez"/>
    <x v="3"/>
    <x v="4"/>
    <x v="4"/>
    <s v="LINTERNA PARA ISLANDIA"/>
    <x v="0"/>
    <m/>
    <d v="2026-03-09T00:00:00"/>
    <n v="-153.97"/>
    <s v="AUDICOST, S.L.U"/>
    <m/>
    <m/>
    <m/>
    <m/>
    <m/>
    <m/>
    <m/>
    <m/>
    <m/>
    <m/>
    <m/>
    <m/>
    <m/>
    <m/>
    <m/>
    <m/>
  </r>
  <r>
    <s v="NO"/>
    <x v="2"/>
    <s v="Maika Blázquez"/>
    <x v="3"/>
    <x v="4"/>
    <x v="4"/>
    <s v="ESTUCHE LAPICES COLORES X 2"/>
    <x v="0"/>
    <m/>
    <d v="2026-03-09T00:00:00"/>
    <n v="-930"/>
    <s v="AUDICOST, S.L.U"/>
    <m/>
    <m/>
    <m/>
    <m/>
    <m/>
    <m/>
    <m/>
    <m/>
    <m/>
    <m/>
    <m/>
    <m/>
    <m/>
    <m/>
    <m/>
    <m/>
  </r>
  <r>
    <s v="NO"/>
    <x v="2"/>
    <s v="Maika Blázquez"/>
    <x v="1"/>
    <x v="32"/>
    <x v="32"/>
    <s v="ALQUILER PIEZO ELECTRICO"/>
    <x v="3"/>
    <d v="2026-03-11T00:00:00"/>
    <d v="2026-03-09T00:00:00"/>
    <n v="-2268.6"/>
    <s v="AUDIBRADA"/>
    <m/>
    <m/>
    <m/>
    <m/>
    <m/>
    <m/>
    <m/>
    <m/>
    <m/>
    <m/>
    <m/>
    <m/>
    <m/>
    <m/>
    <m/>
    <m/>
  </r>
  <r>
    <s v="ISL14"/>
    <x v="2"/>
    <s v="Iván Sánchez"/>
    <x v="13"/>
    <x v="28"/>
    <x v="28"/>
    <s v="CURSO"/>
    <x v="2"/>
    <d v="2026-03-13T00:00:00"/>
    <d v="2026-03-09T00:00:00"/>
    <n v="-568.70000000000005"/>
    <s v="AUDICOST, S.L.U"/>
    <m/>
    <m/>
    <m/>
    <m/>
    <m/>
    <m/>
    <m/>
    <m/>
    <m/>
    <m/>
    <m/>
    <m/>
    <m/>
    <m/>
    <m/>
    <m/>
  </r>
  <r>
    <s v="NO"/>
    <x v="2"/>
    <s v="Iván Sánchez"/>
    <x v="13"/>
    <x v="33"/>
    <x v="33"/>
    <s v="IPHONE 17 PRO MAX 512 GB AZUL OSCURO"/>
    <x v="3"/>
    <m/>
    <d v="2026-03-09T00:00:00"/>
    <n v="-1719"/>
    <s v="AUDICOST, S.L.U"/>
    <m/>
    <m/>
    <m/>
    <m/>
    <m/>
    <m/>
    <m/>
    <m/>
    <m/>
    <m/>
    <m/>
    <m/>
    <m/>
    <m/>
    <m/>
    <m/>
  </r>
  <r>
    <s v="NO"/>
    <x v="2"/>
    <s v="Iván Sánchez"/>
    <x v="13"/>
    <x v="33"/>
    <x v="33"/>
    <s v="ASPIRADOR ESCOBA"/>
    <x v="3"/>
    <m/>
    <d v="2026-03-09T00:00:00"/>
    <n v="-849"/>
    <s v="AUDICOST, S.L.U"/>
    <m/>
    <m/>
    <m/>
    <m/>
    <m/>
    <m/>
    <m/>
    <m/>
    <m/>
    <m/>
    <m/>
    <m/>
    <m/>
    <m/>
    <m/>
    <m/>
  </r>
  <r>
    <s v="NO"/>
    <x v="2"/>
    <s v="Luis Alberto Rodríguez"/>
    <x v="0"/>
    <x v="34"/>
    <x v="34"/>
    <s v="HOTEL EN MADRID"/>
    <x v="1"/>
    <m/>
    <d v="2026-03-10T00:00:00"/>
    <n v="-1171.53"/>
    <s v="AUDICOST, S.L.U"/>
    <m/>
    <m/>
    <m/>
    <m/>
    <m/>
    <m/>
    <m/>
    <m/>
    <m/>
    <m/>
    <m/>
    <m/>
    <m/>
    <m/>
    <m/>
    <m/>
  </r>
  <r>
    <s v="NO"/>
    <x v="2"/>
    <s v="Iván Sánchez"/>
    <x v="13"/>
    <x v="35"/>
    <x v="35"/>
    <s v="CURSO RINOPLASTIA"/>
    <x v="2"/>
    <d v="2026-03-13T00:00:00"/>
    <d v="2026-03-11T00:00:00"/>
    <n v="-2176.19"/>
    <s v="AUDICOST, S.L.U"/>
    <m/>
    <m/>
    <m/>
    <m/>
    <m/>
    <m/>
    <m/>
    <m/>
    <m/>
    <m/>
    <m/>
    <m/>
    <m/>
    <m/>
    <m/>
    <m/>
  </r>
  <r>
    <s v="NO"/>
    <x v="2"/>
    <s v="Iván Sánchez"/>
    <x v="16"/>
    <x v="36"/>
    <x v="36"/>
    <s v="CURSO"/>
    <x v="2"/>
    <d v="2026-03-25T00:00:00"/>
    <d v="2026-03-18T00:00:00"/>
    <n v="-599.52"/>
    <s v="AUDICANTE"/>
    <m/>
    <m/>
    <m/>
    <m/>
    <m/>
    <m/>
    <m/>
    <m/>
    <m/>
    <m/>
    <m/>
    <m/>
    <m/>
    <m/>
    <m/>
    <m/>
  </r>
  <r>
    <s v="NO"/>
    <x v="2"/>
    <s v="Lisandro Russian"/>
    <x v="8"/>
    <x v="37"/>
    <x v="37"/>
    <s v="ESTANCIA EN CHICLANA"/>
    <x v="1"/>
    <d v="2026-03-18T00:00:00"/>
    <m/>
    <m/>
    <s v="AUDICOST LOGROÑO "/>
    <m/>
    <m/>
    <m/>
    <m/>
    <m/>
    <m/>
    <m/>
    <m/>
    <m/>
    <m/>
    <m/>
    <m/>
    <m/>
    <m/>
    <m/>
    <m/>
  </r>
  <r>
    <s v="NO"/>
    <x v="2"/>
    <s v="Maika Blázquez"/>
    <x v="3"/>
    <x v="4"/>
    <x v="4"/>
    <s v="ENTRADAS CIRCO SOL"/>
    <x v="0"/>
    <d v="2026-03-18T00:00:00"/>
    <m/>
    <m/>
    <s v="AUDICOST, S.L.U"/>
    <m/>
    <m/>
    <m/>
    <m/>
    <m/>
    <m/>
    <m/>
    <m/>
    <m/>
    <m/>
    <m/>
    <m/>
    <m/>
    <m/>
    <m/>
    <m/>
  </r>
  <r>
    <s v="ISL14"/>
    <x v="2"/>
    <s v="Iván Sánchez"/>
    <x v="13"/>
    <x v="28"/>
    <x v="28"/>
    <s v="HOTEL Y AVION"/>
    <x v="9"/>
    <d v="2026-03-25T00:00:00"/>
    <d v="2026-03-24T00:00:00"/>
    <n v="-2286.1"/>
    <s v="AUDICOST, S.L.U"/>
    <m/>
    <m/>
    <m/>
    <m/>
    <m/>
    <m/>
    <m/>
    <m/>
    <m/>
    <m/>
    <m/>
    <m/>
    <m/>
    <m/>
    <m/>
    <m/>
  </r>
  <r>
    <s v="NO"/>
    <x v="2"/>
    <s v="Luis Alberto Rodríguez"/>
    <x v="4"/>
    <x v="38"/>
    <x v="38"/>
    <s v="REUNION OTORRINOS EN REPUBLICA DOMINICANA"/>
    <x v="5"/>
    <d v="2026-03-27T00:00:00"/>
    <d v="2026-03-26T00:00:00"/>
    <n v="-13700"/>
    <s v="OIR VITAL CENTROS AUDITIVOS "/>
    <m/>
    <m/>
    <m/>
    <m/>
    <m/>
    <m/>
    <m/>
    <m/>
    <m/>
    <m/>
    <m/>
    <m/>
    <m/>
    <m/>
    <m/>
    <m/>
  </r>
  <r>
    <s v="NO"/>
    <x v="2"/>
    <s v="Ramon Ferrando"/>
    <x v="10"/>
    <x v="39"/>
    <x v="39"/>
    <s v="INSCRIPION CONGRESO"/>
    <x v="2"/>
    <d v="2026-03-27T00:00:00"/>
    <d v="2026-03-26T00:00:00"/>
    <n v="-490.51"/>
    <s v="AUDICANTE"/>
    <m/>
    <m/>
    <m/>
    <m/>
    <m/>
    <m/>
    <m/>
    <m/>
    <m/>
    <m/>
    <m/>
    <m/>
    <m/>
    <m/>
    <m/>
    <m/>
  </r>
  <r>
    <s v="ISL14"/>
    <x v="2"/>
    <s v="Iván Sánchez"/>
    <x v="16"/>
    <x v="28"/>
    <x v="28"/>
    <s v="TRASLADO"/>
    <x v="7"/>
    <d v="2026-03-31T00:00:00"/>
    <d v="2026-03-30T00:00:00"/>
    <n v="-856.98"/>
    <s v="AUDICANTE"/>
    <m/>
    <m/>
    <m/>
    <m/>
    <m/>
    <m/>
    <m/>
    <m/>
    <m/>
    <m/>
    <m/>
    <m/>
    <m/>
    <m/>
    <m/>
    <m/>
  </r>
  <r>
    <s v="NO"/>
    <x v="2"/>
    <s v="Iván Sánchez"/>
    <x v="14"/>
    <x v="29"/>
    <x v="29"/>
    <s v="VIAJE CAMINO SANTIAGO-DEPOSITO DEL 20%"/>
    <x v="10"/>
    <d v="2026-03-31T00:00:00"/>
    <d v="2026-03-31T00:00:00"/>
    <n v="-318"/>
    <s v="AUDICANTE"/>
    <m/>
    <m/>
    <m/>
    <m/>
    <m/>
    <m/>
    <m/>
    <m/>
    <m/>
    <m/>
    <m/>
    <m/>
    <m/>
    <m/>
    <m/>
    <m/>
  </r>
  <r>
    <s v="NO"/>
    <x v="2"/>
    <s v="Maika Blázquez"/>
    <x v="6"/>
    <x v="40"/>
    <x v="40"/>
    <s v="CURSO"/>
    <x v="2"/>
    <m/>
    <d v="2026-03-30T00:00:00"/>
    <n v="-600"/>
    <s v="SIEMA BLINK, S.L"/>
    <m/>
    <m/>
    <m/>
    <m/>
    <m/>
    <m/>
    <m/>
    <m/>
    <m/>
    <m/>
    <m/>
    <m/>
    <m/>
    <m/>
    <m/>
    <m/>
  </r>
  <r>
    <s v="NO"/>
    <x v="0"/>
    <s v="Lisandro Russian"/>
    <x v="7"/>
    <x v="41"/>
    <x v="41"/>
    <s v="COSTES DE EMPLEADA-ENERO"/>
    <x v="11"/>
    <s v=" "/>
    <m/>
    <n v="-1398.88"/>
    <s v="AUDICOST, S.L.U"/>
    <m/>
    <m/>
    <m/>
    <m/>
    <m/>
    <m/>
    <m/>
    <m/>
    <m/>
    <m/>
    <m/>
    <m/>
    <m/>
    <m/>
    <m/>
    <m/>
  </r>
  <r>
    <s v="NO"/>
    <x v="1"/>
    <s v="Lisandro Russian"/>
    <x v="7"/>
    <x v="41"/>
    <x v="41"/>
    <s v="COSTES DE EMPLEADA-FEBRERO"/>
    <x v="11"/>
    <s v=" "/>
    <m/>
    <n v="-1398.88"/>
    <s v="AUDICOST, S.L.U"/>
    <m/>
    <m/>
    <m/>
    <m/>
    <m/>
    <m/>
    <m/>
    <m/>
    <m/>
    <m/>
    <m/>
    <m/>
    <m/>
    <m/>
    <m/>
    <m/>
  </r>
  <r>
    <s v="NO"/>
    <x v="2"/>
    <s v="Lisandro Russian"/>
    <x v="7"/>
    <x v="41"/>
    <x v="41"/>
    <s v="COSTES DE EMPLEADA-MARZO"/>
    <x v="11"/>
    <s v=" "/>
    <m/>
    <n v="-1398.88"/>
    <s v="AUDICOST, S.L.U"/>
    <m/>
    <m/>
    <m/>
    <m/>
    <m/>
    <m/>
    <m/>
    <m/>
    <m/>
    <m/>
    <m/>
    <m/>
    <m/>
    <m/>
    <m/>
    <m/>
  </r>
  <r>
    <s v="NO"/>
    <x v="3"/>
    <s v="Iván Sánchez"/>
    <x v="13"/>
    <x v="33"/>
    <x v="33"/>
    <s v="TV+SOPORTE"/>
    <x v="3"/>
    <d v="2026-04-07T00:00:00"/>
    <d v="2026-04-06T00:00:00"/>
    <n v="-1400.42"/>
    <s v="AUDICOST, S.L.U"/>
    <m/>
    <m/>
    <m/>
    <m/>
    <m/>
    <m/>
    <m/>
    <m/>
    <m/>
    <m/>
    <m/>
    <m/>
    <m/>
    <m/>
    <m/>
    <m/>
  </r>
  <r>
    <s v="NO"/>
    <x v="3"/>
    <s v="Luis Alberto Rodríguez"/>
    <x v="4"/>
    <x v="5"/>
    <x v="5"/>
    <s v="PORTATIL MEDIA MARKT"/>
    <x v="3"/>
    <d v="2026-04-08T00:00:00"/>
    <d v="2026-04-08T00:00:00"/>
    <n v="-899"/>
    <s v="OIR VITAL CENTROS AUDITIVOS "/>
    <m/>
    <m/>
    <m/>
    <m/>
    <m/>
    <m/>
    <m/>
    <m/>
    <m/>
    <m/>
    <m/>
    <m/>
    <m/>
    <m/>
    <m/>
    <m/>
  </r>
  <r>
    <s v=""/>
    <x v="4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5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6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7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8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9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10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11"/>
    <s v=""/>
    <x v="17"/>
    <x v="42"/>
    <x v="42"/>
    <m/>
    <x v="12"/>
    <m/>
    <m/>
    <m/>
    <s v="Empresa"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s v=""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  <r>
    <m/>
    <x v="12"/>
    <m/>
    <x v="18"/>
    <x v="43"/>
    <x v="42"/>
    <m/>
    <x v="1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gastosporcentro" cacheId="152" applyNumberFormats="0" applyBorderFormats="0" applyFontFormats="0" applyPatternFormats="0" applyAlignmentFormats="0" applyWidthHeightFormats="0" dataCaption="" updatedVersion="8" rowGrandTotals="0" compact="0" compactData="0">
  <location ref="A1:D29" firstHeaderRow="1" firstDataRow="1" firstDataCol="3"/>
  <pivotFields count="28">
    <pivotField name="CONTRATO" compact="0" outline="0" multipleItemSelectionAllowed="1" showAll="0"/>
    <pivotField name="MES" compact="0" outline="0" multipleItemSelectionAllowed="1" showAll="0"/>
    <pivotField name="VISITADOR" compact="0" outline="0" multipleItemSelectionAllowed="1" showAll="0"/>
    <pivotField name="CENTRO" axis="axisRow" compact="0" outline="0" multipleItemSelectionAllowed="1" showAll="0" sortType="ascending">
      <items count="20">
        <item sd="0" x="12"/>
        <item sd="0" x="16"/>
        <item x="17"/>
        <item x="9"/>
        <item sd="0" x="2"/>
        <item sd="0" x="1"/>
        <item sd="0" x="0"/>
        <item sd="0" x="8"/>
        <item sd="0" x="3"/>
        <item sd="0" x="7"/>
        <item sd="0" x="6"/>
        <item sd="0" x="14"/>
        <item sd="0" x="13"/>
        <item sd="0" x="15"/>
        <item sd="0" x="4"/>
        <item sd="0" x="5"/>
        <item x="10"/>
        <item sd="0" x="11"/>
        <item x="18"/>
        <item t="default"/>
      </items>
    </pivotField>
    <pivotField name="COD.CONTRATO" axis="axisRow" compact="0" outline="0" multipleItemSelectionAllowed="1" showAll="0" sortType="ascending" defaultSubtotal="0">
      <items count="44">
        <item x="42"/>
        <item x="20"/>
        <item x="36"/>
        <item x="28"/>
        <item x="35"/>
        <item x="30"/>
        <item x="29"/>
        <item x="17"/>
        <item x="33"/>
        <item x="5"/>
        <item x="23"/>
        <item x="38"/>
        <item x="0"/>
        <item x="34"/>
        <item x="10"/>
        <item x="41"/>
        <item x="31"/>
        <item x="37"/>
        <item x="18"/>
        <item x="19"/>
        <item x="3"/>
        <item x="6"/>
        <item x="15"/>
        <item x="1"/>
        <item x="2"/>
        <item x="12"/>
        <item x="8"/>
        <item x="32"/>
        <item x="9"/>
        <item x="25"/>
        <item x="26"/>
        <item x="27"/>
        <item x="40"/>
        <item x="21"/>
        <item x="4"/>
        <item x="7"/>
        <item x="14"/>
        <item x="24"/>
        <item x="22"/>
        <item x="16"/>
        <item x="39"/>
        <item x="11"/>
        <item x="13"/>
        <item x="43"/>
      </items>
    </pivotField>
    <pivotField name="ORL" compact="0" outline="0" multipleItemSelectionAllowed="1" showAll="0"/>
    <pivotField name="ACCION MKT" compact="0" outline="0" multipleItemSelectionAllowed="1" showAll="0"/>
    <pivotField name="CATEGORÍAS" axis="axisRow" compact="0" numFmtId="164" outline="0" multipleItemSelectionAllowed="1" showAll="0" sortType="ascending">
      <items count="14">
        <item x="1"/>
        <item x="9"/>
        <item x="6"/>
        <item x="5"/>
        <item x="10"/>
        <item x="11"/>
        <item x="2"/>
        <item x="3"/>
        <item x="4"/>
        <item x="8"/>
        <item x="0"/>
        <item x="7"/>
        <item x="12"/>
        <item t="default"/>
      </items>
    </pivotField>
    <pivotField name="FECHA P/" compact="0" outline="0" multipleItemSelectionAllowed="1" showAll="0"/>
    <pivotField name="FECHA PAGO" compact="0" numFmtId="165" outline="0" multipleItemSelectionAllowed="1" showAll="0"/>
    <pivotField name="IMPORTE" dataField="1" compact="0" outline="0" multipleItemSelectionAllowed="1" showAll="0"/>
    <pivotField name="EMPRESA" compact="0" outline="0" multipleItemSelectionAllowed="1" showAll="0"/>
    <pivotField name="OBSERVACIONES" compact="0" outline="0" multipleItemSelectionAllowed="1" showAll="0"/>
    <pivotField name="Codigo medic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</pivotFields>
  <rowFields count="3">
    <field x="3"/>
    <field x="4"/>
    <field x="7"/>
  </rowFields>
  <rowItems count="28">
    <i>
      <x/>
    </i>
    <i>
      <x v="1"/>
    </i>
    <i>
      <x v="2"/>
      <x/>
      <x v="12"/>
    </i>
    <i t="default">
      <x v="2"/>
    </i>
    <i>
      <x v="3"/>
      <x v="1"/>
      <x/>
    </i>
    <i r="2">
      <x v="3"/>
    </i>
    <i r="2">
      <x v="11"/>
    </i>
    <i r="1">
      <x v="7"/>
      <x v="2"/>
    </i>
    <i r="1">
      <x v="41"/>
      <x v="7"/>
    </i>
    <i t="default"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  <x v="40"/>
      <x v="6"/>
    </i>
    <i r="1">
      <x v="42"/>
      <x v="6"/>
    </i>
    <i t="default">
      <x v="16"/>
    </i>
    <i>
      <x v="17"/>
    </i>
    <i>
      <x v="18"/>
      <x v="43"/>
      <x v="12"/>
    </i>
    <i t="default">
      <x v="18"/>
    </i>
  </rowItems>
  <colItems count="1">
    <i/>
  </colItems>
  <dataFields count="1">
    <dataField name="SUM of IMPORTE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solocontratosorl" cacheId="144" applyNumberFormats="0" applyBorderFormats="0" applyFontFormats="0" applyPatternFormats="0" applyAlignmentFormats="0" applyWidthHeightFormats="0" dataCaption="" updatedVersion="8" compact="0" compactData="0">
  <location ref="A1:F10" firstHeaderRow="1" firstDataRow="2" firstDataCol="3"/>
  <pivotFields count="15">
    <pivotField name="CONTRATO" axis="axisRow" compact="0" outline="0" multipleItemSelectionAllowed="1" showAll="0" sortType="ascending">
      <items count="6">
        <item h="1" x="3"/>
        <item h="1" x="1"/>
        <item x="2"/>
        <item h="1" x="0"/>
        <item h="1" x="4"/>
        <item t="default"/>
      </items>
    </pivotField>
    <pivotField name="MES" axis="axisCol" compact="0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ISITADOR" compact="0" outline="0" multipleItemSelectionAllowed="1" showAll="0"/>
    <pivotField name="CENTRO" axis="axisRow" compact="0" outline="0" multipleItemSelectionAllowed="1" showAll="0" sortType="ascending">
      <items count="20">
        <item x="12"/>
        <item x="16"/>
        <item x="17"/>
        <item x="9"/>
        <item x="2"/>
        <item x="1"/>
        <item x="0"/>
        <item x="8"/>
        <item x="3"/>
        <item x="7"/>
        <item x="6"/>
        <item x="14"/>
        <item x="13"/>
        <item x="15"/>
        <item x="4"/>
        <item x="5"/>
        <item x="10"/>
        <item x="11"/>
        <item x="18"/>
        <item t="default"/>
      </items>
    </pivotField>
    <pivotField name="COD.CONTRATO" compact="0" outline="0" multipleItemSelectionAllowed="1" showAll="0"/>
    <pivotField name="ORL" compact="0" outline="0" multipleItemSelectionAllowed="1" showAll="0"/>
    <pivotField name="ACCION MKT" compact="0" outline="0" multipleItemSelectionAllowed="1" showAll="0"/>
    <pivotField name="CATEGORÍAS" axis="axisRow" compact="0" numFmtId="164" outline="0" multipleItemSelectionAllowed="1" showAll="0" sortType="ascending">
      <items count="14">
        <item x="1"/>
        <item x="9"/>
        <item x="6"/>
        <item x="5"/>
        <item x="10"/>
        <item x="11"/>
        <item x="2"/>
        <item x="3"/>
        <item x="4"/>
        <item x="8"/>
        <item x="0"/>
        <item x="7"/>
        <item x="12"/>
        <item t="default"/>
      </items>
    </pivotField>
    <pivotField name="FECHA P/" compact="0" outline="0" multipleItemSelectionAllowed="1" showAll="0"/>
    <pivotField name="FECHA PAGO" compact="0" numFmtId="165" outline="0" multipleItemSelectionAllowed="1" showAll="0"/>
    <pivotField name="IMPORTE" dataField="1" compact="0" outline="0" multipleItemSelectionAllowed="1" showAll="0"/>
    <pivotField name="EMPRESA" compact="0" outline="0" multipleItemSelectionAllowed="1" showAll="0"/>
    <pivotField name="OBSERVACIONES" compact="0" outline="0" multipleItemSelectionAllowed="1" showAll="0"/>
    <pivotField name="Codigo medico" compact="0" outline="0" multipleItemSelectionAllowed="1" showAll="0"/>
    <pivotField name=" " compact="0" outline="0" multipleItemSelectionAllowed="1" showAll="0"/>
  </pivotFields>
  <rowFields count="3">
    <field x="0"/>
    <field x="3"/>
    <field x="7"/>
  </rowFields>
  <rowItems count="8">
    <i>
      <x v="2"/>
      <x v="1"/>
      <x v="11"/>
    </i>
    <i t="default" r="1">
      <x v="1"/>
    </i>
    <i r="1">
      <x v="12"/>
      <x v="1"/>
    </i>
    <i r="2">
      <x v="6"/>
    </i>
    <i r="2">
      <x v="9"/>
    </i>
    <i t="default" r="1">
      <x v="12"/>
    </i>
    <i t="default">
      <x v="2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 of IMPORTE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2000000}" name="gastosorl" cacheId="152" applyNumberFormats="0" applyBorderFormats="0" applyFontFormats="0" applyPatternFormats="0" applyAlignmentFormats="0" applyWidthHeightFormats="0" dataCaption="" updatedVersion="8" compact="0" compactData="0">
  <location ref="A1:P96" firstHeaderRow="1" firstDataRow="2" firstDataCol="2"/>
  <pivotFields count="28">
    <pivotField name="CONTRATO" compact="0" outline="0" multipleItemSelectionAllowed="1" showAll="0"/>
    <pivotField name="MES" axis="axisCol" compact="0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ISITADOR" compact="0" outline="0" multipleItemSelectionAllowed="1" showAll="0"/>
    <pivotField name="CENTRO" compact="0" outline="0" multipleItemSelectionAllowed="1" showAll="0"/>
    <pivotField name="COD.CONTRATO" compact="0" outline="0" multipleItemSelectionAllowed="1" showAll="0"/>
    <pivotField name="ORL" axis="axisRow" compact="0" outline="0" multipleItemSelectionAllowed="1" showAll="0" sortType="ascending">
      <items count="44">
        <item x="12"/>
        <item x="39"/>
        <item x="30"/>
        <item x="22"/>
        <item x="41"/>
        <item x="28"/>
        <item x="18"/>
        <item x="8"/>
        <item x="10"/>
        <item x="32"/>
        <item x="31"/>
        <item x="25"/>
        <item x="27"/>
        <item x="5"/>
        <item x="13"/>
        <item x="3"/>
        <item x="29"/>
        <item x="38"/>
        <item x="21"/>
        <item x="20"/>
        <item x="40"/>
        <item x="16"/>
        <item x="4"/>
        <item x="7"/>
        <item x="17"/>
        <item x="19"/>
        <item x="33"/>
        <item x="14"/>
        <item x="36"/>
        <item x="6"/>
        <item x="34"/>
        <item x="0"/>
        <item x="11"/>
        <item x="15"/>
        <item x="1"/>
        <item x="35"/>
        <item x="37"/>
        <item x="23"/>
        <item x="24"/>
        <item x="2"/>
        <item x="26"/>
        <item x="9"/>
        <item x="42"/>
        <item t="default"/>
      </items>
    </pivotField>
    <pivotField name="ACCION MKT" compact="0" outline="0" multipleItemSelectionAllowed="1" showAll="0"/>
    <pivotField name="CATEGORÍAS" axis="axisRow" compact="0" numFmtId="164" outline="0" multipleItemSelectionAllowed="1" showAll="0" sortType="ascending">
      <items count="14">
        <item x="1"/>
        <item x="9"/>
        <item x="6"/>
        <item x="5"/>
        <item x="10"/>
        <item x="11"/>
        <item x="2"/>
        <item x="3"/>
        <item x="4"/>
        <item x="8"/>
        <item x="0"/>
        <item x="7"/>
        <item x="12"/>
        <item t="default"/>
      </items>
    </pivotField>
    <pivotField name="FECHA P/" compact="0" outline="0" multipleItemSelectionAllowed="1" showAll="0"/>
    <pivotField name="FECHA PAGO" compact="0" numFmtId="165" outline="0" multipleItemSelectionAllowed="1" showAll="0"/>
    <pivotField name="IMPORTE" dataField="1" compact="0" outline="0" multipleItemSelectionAllowed="1" showAll="0"/>
    <pivotField name="EMPRESA" compact="0" outline="0" multipleItemSelectionAllowed="1" showAll="0"/>
    <pivotField name="OBSERVACIONES" compact="0" outline="0" multipleItemSelectionAllowed="1" showAll="0"/>
    <pivotField name="Codigo medico" compact="0" outline="0" multipleItemSelectionAllowed="1" showAll="0"/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  <pivotField name=" 8" compact="0" outline="0" multipleItemSelectionAllowed="1" showAll="0"/>
    <pivotField name=" 9" compact="0" outline="0" multipleItemSelectionAllowed="1" showAll="0"/>
    <pivotField name=" 10" compact="0" outline="0" multipleItemSelectionAllowed="1" showAll="0"/>
    <pivotField name=" 11" compact="0" outline="0" multipleItemSelectionAllowed="1" showAll="0"/>
    <pivotField name=" 12" compact="0" outline="0" multipleItemSelectionAllowed="1" showAll="0"/>
    <pivotField name=" 13" compact="0" outline="0" multipleItemSelectionAllowed="1" showAll="0"/>
    <pivotField name=" 14" compact="0" outline="0" multipleItemSelectionAllowed="1" showAll="0"/>
  </pivotFields>
  <rowFields count="2">
    <field x="5"/>
    <field x="7"/>
  </rowFields>
  <rowItems count="94">
    <i>
      <x/>
      <x v="6"/>
    </i>
    <i t="default">
      <x/>
    </i>
    <i>
      <x v="1"/>
      <x v="6"/>
    </i>
    <i t="default">
      <x v="1"/>
    </i>
    <i>
      <x v="2"/>
      <x v="6"/>
    </i>
    <i t="default">
      <x v="2"/>
    </i>
    <i>
      <x v="3"/>
      <x v="6"/>
    </i>
    <i t="default">
      <x v="3"/>
    </i>
    <i>
      <x v="4"/>
      <x v="5"/>
    </i>
    <i t="default">
      <x v="4"/>
    </i>
    <i>
      <x v="5"/>
      <x v="1"/>
    </i>
    <i r="1">
      <x v="6"/>
    </i>
    <i r="1">
      <x v="9"/>
    </i>
    <i r="1">
      <x v="11"/>
    </i>
    <i t="default">
      <x v="5"/>
    </i>
    <i>
      <x v="6"/>
      <x v="7"/>
    </i>
    <i t="default">
      <x v="6"/>
    </i>
    <i>
      <x v="7"/>
      <x v="6"/>
    </i>
    <i t="default">
      <x v="7"/>
    </i>
    <i>
      <x v="8"/>
      <x v="3"/>
    </i>
    <i t="default">
      <x v="8"/>
    </i>
    <i>
      <x v="9"/>
      <x v="7"/>
    </i>
    <i t="default">
      <x v="9"/>
    </i>
    <i>
      <x v="10"/>
      <x v="1"/>
    </i>
    <i t="default">
      <x v="10"/>
    </i>
    <i>
      <x v="11"/>
      <x v="6"/>
    </i>
    <i t="default">
      <x v="11"/>
    </i>
    <i>
      <x v="12"/>
      <x v="6"/>
    </i>
    <i t="default">
      <x v="12"/>
    </i>
    <i>
      <x v="13"/>
      <x v="7"/>
    </i>
    <i t="default">
      <x v="13"/>
    </i>
    <i>
      <x v="14"/>
      <x v="6"/>
    </i>
    <i t="default">
      <x v="14"/>
    </i>
    <i>
      <x v="15"/>
      <x v="6"/>
    </i>
    <i t="default">
      <x v="15"/>
    </i>
    <i>
      <x v="16"/>
      <x v="3"/>
    </i>
    <i r="1">
      <x v="4"/>
    </i>
    <i t="default">
      <x v="16"/>
    </i>
    <i>
      <x v="17"/>
      <x v="3"/>
    </i>
    <i t="default">
      <x v="17"/>
    </i>
    <i>
      <x v="18"/>
      <x v="6"/>
    </i>
    <i t="default">
      <x v="18"/>
    </i>
    <i>
      <x v="19"/>
      <x/>
    </i>
    <i r="1">
      <x v="3"/>
    </i>
    <i r="1">
      <x v="11"/>
    </i>
    <i t="default">
      <x v="19"/>
    </i>
    <i>
      <x v="20"/>
      <x v="6"/>
    </i>
    <i t="default">
      <x v="20"/>
    </i>
    <i>
      <x v="21"/>
      <x v="7"/>
    </i>
    <i t="default">
      <x v="21"/>
    </i>
    <i>
      <x v="22"/>
      <x v="7"/>
    </i>
    <i r="1">
      <x v="10"/>
    </i>
    <i t="default">
      <x v="22"/>
    </i>
    <i>
      <x v="23"/>
      <x v="8"/>
    </i>
    <i t="default">
      <x v="23"/>
    </i>
    <i>
      <x v="24"/>
      <x v="2"/>
    </i>
    <i t="default">
      <x v="24"/>
    </i>
    <i>
      <x v="25"/>
      <x v="6"/>
    </i>
    <i t="default">
      <x v="25"/>
    </i>
    <i>
      <x v="26"/>
      <x v="7"/>
    </i>
    <i t="default">
      <x v="26"/>
    </i>
    <i>
      <x v="27"/>
      <x v="6"/>
    </i>
    <i t="default">
      <x v="27"/>
    </i>
    <i>
      <x v="28"/>
      <x v="6"/>
    </i>
    <i t="default">
      <x v="28"/>
    </i>
    <i>
      <x v="29"/>
      <x v="6"/>
    </i>
    <i t="default">
      <x v="29"/>
    </i>
    <i>
      <x v="30"/>
      <x/>
    </i>
    <i t="default">
      <x v="30"/>
    </i>
    <i>
      <x v="31"/>
      <x v="10"/>
    </i>
    <i t="default">
      <x v="31"/>
    </i>
    <i>
      <x v="32"/>
      <x v="7"/>
    </i>
    <i t="default">
      <x v="32"/>
    </i>
    <i>
      <x v="33"/>
      <x v="6"/>
    </i>
    <i t="default">
      <x v="33"/>
    </i>
    <i>
      <x v="34"/>
      <x/>
    </i>
    <i t="default">
      <x v="34"/>
    </i>
    <i>
      <x v="35"/>
      <x v="6"/>
    </i>
    <i t="default">
      <x v="35"/>
    </i>
    <i>
      <x v="36"/>
      <x/>
    </i>
    <i t="default">
      <x v="36"/>
    </i>
    <i>
      <x v="37"/>
      <x/>
    </i>
    <i t="default">
      <x v="37"/>
    </i>
    <i>
      <x v="38"/>
      <x v="7"/>
    </i>
    <i t="default">
      <x v="38"/>
    </i>
    <i>
      <x v="39"/>
      <x v="6"/>
    </i>
    <i t="default">
      <x v="39"/>
    </i>
    <i>
      <x v="40"/>
      <x v="6"/>
    </i>
    <i t="default">
      <x v="40"/>
    </i>
    <i>
      <x v="41"/>
      <x v="6"/>
    </i>
    <i t="default">
      <x v="41"/>
    </i>
    <i>
      <x v="42"/>
      <x v="12"/>
    </i>
    <i t="default">
      <x v="42"/>
    </i>
    <i t="grand">
      <x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IMPORTE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9C4894-C304-6F4D-B430-17B21A1BB5C1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bc8798f6-af3a-402c-9a83-119e0cb2300a&quot;"/>
  </we:properties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1"/>
  <sheetViews>
    <sheetView workbookViewId="0"/>
  </sheetViews>
  <sheetFormatPr baseColWidth="10" defaultColWidth="14.5" defaultRowHeight="15" customHeight="1"/>
  <cols>
    <col min="1" max="1" width="12.1640625" customWidth="1"/>
    <col min="2" max="2" width="5.83203125" customWidth="1"/>
    <col min="3" max="3" width="19.6640625" customWidth="1"/>
    <col min="4" max="4" width="18.5" customWidth="1"/>
    <col min="5" max="5" width="12.1640625" customWidth="1"/>
    <col min="6" max="6" width="31.33203125" customWidth="1"/>
    <col min="7" max="7" width="30.5" customWidth="1"/>
    <col min="8" max="8" width="25.83203125" customWidth="1"/>
    <col min="9" max="11" width="12.1640625" customWidth="1"/>
    <col min="12" max="12" width="23.5" customWidth="1"/>
    <col min="13" max="13" width="38" customWidth="1"/>
    <col min="14" max="28" width="12.1640625" customWidth="1"/>
  </cols>
  <sheetData>
    <row r="1" spans="1:28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1" t="s">
        <v>11</v>
      </c>
      <c r="M1" s="6" t="s">
        <v>12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14</v>
      </c>
      <c r="S1" s="7" t="s">
        <v>14</v>
      </c>
      <c r="T1" s="7" t="s">
        <v>14</v>
      </c>
      <c r="U1" s="7" t="s">
        <v>14</v>
      </c>
      <c r="V1" s="7" t="s">
        <v>14</v>
      </c>
      <c r="W1" s="7" t="s">
        <v>14</v>
      </c>
      <c r="X1" s="7" t="s">
        <v>14</v>
      </c>
      <c r="Y1" s="7" t="s">
        <v>14</v>
      </c>
      <c r="Z1" s="7" t="s">
        <v>14</v>
      </c>
      <c r="AA1" s="7" t="s">
        <v>14</v>
      </c>
      <c r="AB1" s="7" t="s">
        <v>14</v>
      </c>
    </row>
    <row r="2" spans="1:28">
      <c r="A2" s="8" t="str">
        <f ca="1">IF(C2="","",IFERROR(VLOOKUP($E2,códigos!$R:$R,1,FALSE),"NO"))</f>
        <v>NO</v>
      </c>
      <c r="B2" s="9">
        <f ca="1">IFERROR(__xludf.DUMMYFUNCTION("{FILTER(ENERO!A4:K1001,ENERO!C4:C1001&lt;&gt;"""");FILTER(FEBRERO!A4:K1001,FEBRERO!C4:C1001&lt;&gt;"""");FILTER(MARZO!A4:K1001,MARZO!C4:C1001&lt;&gt;"""");FILTER(ABRIL!A4:K1001,ABRIL!C4:C1001&lt;&gt;"""");FILTER(MAYO!A4:K1001,MAYO!C4:C1001&lt;&gt;"""");FILTER(JUNIO!A4:K1001,JUNIO!C4:C"&amp;"1001&lt;&gt;"""");FILTER(JULIO!A4:K1001,JULIO!C4:C1001&lt;&gt;"""");FILTER(AGOSTO!A4:K1001,AGOSTO!C4:C1001&lt;&gt;"""");FILTER(SEPTIEMBRE!A4:K1001,SEPTIEMBRE!C4:C1001&lt;&gt;"""");FILTER(OCTUBRE!A4:K1001,OCTUBRE!C4:C1001&lt;&gt;"""");FILTER(NOVIEMBRE!A4:K1001,NOVIEMBRE!C4:C1001&lt;&gt;"""")"&amp;";FILTER(DICIEMBRE!A4:K1001,DICIEMBRE!C4:C1001&lt;&gt;"""")}"),1)</f>
        <v>1</v>
      </c>
      <c r="C2" s="10" t="str">
        <f ca="1">IFERROR(__xludf.DUMMYFUNCTION("""COMPUTED_VALUE"""),"Luis Alberto Rodríguez")</f>
        <v>Luis Alberto Rodríguez</v>
      </c>
      <c r="D2" s="11" t="str">
        <f ca="1">IFERROR(__xludf.DUMMYFUNCTION("""COMPUTED_VALUE"""),"Jerez de la Frontera")</f>
        <v>Jerez de la Frontera</v>
      </c>
      <c r="E2" s="11" t="str">
        <f ca="1">IFERROR(__xludf.DUMMYFUNCTION("""COMPUTED_VALUE"""),"LAA78")</f>
        <v>LAA78</v>
      </c>
      <c r="F2" s="11" t="str">
        <f ca="1">IFERROR(__xludf.DUMMYFUNCTION("""COMPUTED_VALUE"""),"Maria Del Carmen Salom Coveñas")</f>
        <v>Maria Del Carmen Salom Coveñas</v>
      </c>
      <c r="G2" s="11" t="str">
        <f ca="1">IFERROR(__xludf.DUMMYFUNCTION("""COMPUTED_VALUE"""),"PATROCINIO")</f>
        <v>PATROCINIO</v>
      </c>
      <c r="H2" s="12" t="str">
        <f ca="1">IFERROR(__xludf.DUMMYFUNCTION("""COMPUTED_VALUE"""),"Publicidad")</f>
        <v>Publicidad</v>
      </c>
      <c r="I2" s="13"/>
      <c r="J2" s="13">
        <f ca="1">IFERROR(__xludf.DUMMYFUNCTION("""COMPUTED_VALUE"""),46034)</f>
        <v>46034</v>
      </c>
      <c r="K2" s="11">
        <f ca="1">IFERROR(__xludf.DUMMYFUNCTION("""COMPUTED_VALUE"""),-4432)</f>
        <v>-4432</v>
      </c>
      <c r="L2" s="11" t="str">
        <f ca="1">IFERROR(__xludf.DUMMYFUNCTION("""COMPUTED_VALUE"""),"AUDICOST, S.L.U")</f>
        <v>AUDICOST, S.L.U</v>
      </c>
      <c r="M2" s="11"/>
      <c r="N2" s="7"/>
    </row>
    <row r="3" spans="1:28">
      <c r="A3" s="8" t="str">
        <f ca="1">IF(C3="","",IFERROR(VLOOKUP($E3,códigos!$R:$R,1,FALSE),"NO"))</f>
        <v>NO</v>
      </c>
      <c r="B3" s="7">
        <f ca="1">IFERROR(__xludf.DUMMYFUNCTION("""COMPUTED_VALUE"""),1)</f>
        <v>1</v>
      </c>
      <c r="C3" s="14" t="str">
        <f ca="1">IFERROR(__xludf.DUMMYFUNCTION("""COMPUTED_VALUE"""),"Maika Blázquez")</f>
        <v>Maika Blázquez</v>
      </c>
      <c r="D3" s="7" t="str">
        <f ca="1">IFERROR(__xludf.DUMMYFUNCTION("""COMPUTED_VALUE"""),"Getafe")</f>
        <v>Getafe</v>
      </c>
      <c r="E3" s="7" t="str">
        <f ca="1">IFERROR(__xludf.DUMMYFUNCTION("""COMPUTED_VALUE"""),"MBM149")</f>
        <v>MBM149</v>
      </c>
      <c r="F3" s="7" t="str">
        <f ca="1">IFERROR(__xludf.DUMMYFUNCTION("""COMPUTED_VALUE"""),"María Garrote Garrote")</f>
        <v>María Garrote Garrote</v>
      </c>
      <c r="G3" s="7" t="str">
        <f ca="1">IFERROR(__xludf.DUMMYFUNCTION("""COMPUTED_VALUE"""),"AIRBNB")</f>
        <v>AIRBNB</v>
      </c>
      <c r="H3" s="15" t="str">
        <f ca="1">IFERROR(__xludf.DUMMYFUNCTION("""COMPUTED_VALUE"""),"Alojamiento")</f>
        <v>Alojamiento</v>
      </c>
      <c r="I3" s="16">
        <f ca="1">IFERROR(__xludf.DUMMYFUNCTION("""COMPUTED_VALUE"""),46036)</f>
        <v>46036</v>
      </c>
      <c r="J3" s="16">
        <f ca="1">IFERROR(__xludf.DUMMYFUNCTION("""COMPUTED_VALUE"""),46034)</f>
        <v>46034</v>
      </c>
      <c r="K3" s="7">
        <f ca="1">IFERROR(__xludf.DUMMYFUNCTION("""COMPUTED_VALUE"""),-1700)</f>
        <v>-1700</v>
      </c>
      <c r="L3" s="7" t="str">
        <f ca="1">IFERROR(__xludf.DUMMYFUNCTION("""COMPUTED_VALUE"""),"AUDIBRADA")</f>
        <v>AUDIBRADA</v>
      </c>
      <c r="M3" s="7"/>
      <c r="N3" s="7"/>
    </row>
    <row r="4" spans="1:28">
      <c r="A4" s="8" t="str">
        <f ca="1">IF(C4="","",IFERROR(VLOOKUP($E4,códigos!$R:$R,1,FALSE),"NO"))</f>
        <v>NO</v>
      </c>
      <c r="B4" s="7">
        <f ca="1">IFERROR(__xludf.DUMMYFUNCTION("""COMPUTED_VALUE"""),1)</f>
        <v>1</v>
      </c>
      <c r="C4" s="14" t="str">
        <f ca="1">IFERROR(__xludf.DUMMYFUNCTION("""COMPUTED_VALUE"""),"Maika Blázquez")</f>
        <v>Maika Blázquez</v>
      </c>
      <c r="D4" s="7" t="str">
        <f ca="1">IFERROR(__xludf.DUMMYFUNCTION("""COMPUTED_VALUE"""),"Fuenlabrada")</f>
        <v>Fuenlabrada</v>
      </c>
      <c r="E4" s="7" t="str">
        <f ca="1">IFERROR(__xludf.DUMMYFUNCTION("""COMPUTED_VALUE"""),"MBM164")</f>
        <v>MBM164</v>
      </c>
      <c r="F4" s="7" t="str">
        <f ca="1">IFERROR(__xludf.DUMMYFUNCTION("""COMPUTED_VALUE"""),"Paloma Martín-Aragón Martín")</f>
        <v>Paloma Martín-Aragón Martín</v>
      </c>
      <c r="G4" s="7" t="str">
        <f ca="1">IFERROR(__xludf.DUMMYFUNCTION("""COMPUTED_VALUE"""),"INSCRIPCION CURSO MICROCIRUGIA")</f>
        <v>INSCRIPCION CURSO MICROCIRUGIA</v>
      </c>
      <c r="H4" s="15" t="str">
        <f ca="1">IFERROR(__xludf.DUMMYFUNCTION("""COMPUTED_VALUE"""),"Inscripción")</f>
        <v>Inscripción</v>
      </c>
      <c r="I4" s="16"/>
      <c r="J4" s="16">
        <f ca="1">IFERROR(__xludf.DUMMYFUNCTION("""COMPUTED_VALUE"""),46035)</f>
        <v>46035</v>
      </c>
      <c r="K4" s="7">
        <f ca="1">IFERROR(__xludf.DUMMYFUNCTION("""COMPUTED_VALUE"""),-1663.35)</f>
        <v>-1663.35</v>
      </c>
      <c r="L4" s="7" t="str">
        <f ca="1">IFERROR(__xludf.DUMMYFUNCTION("""COMPUTED_VALUE"""),"AUDIBRADA")</f>
        <v>AUDIBRADA</v>
      </c>
      <c r="M4" s="7"/>
      <c r="N4" s="7"/>
    </row>
    <row r="5" spans="1:28">
      <c r="A5" s="8" t="str">
        <f ca="1">IF(C5="","",IFERROR(VLOOKUP($E5,códigos!$R:$R,1,FALSE),"NO"))</f>
        <v>NO</v>
      </c>
      <c r="B5" s="7">
        <f ca="1">IFERROR(__xludf.DUMMYFUNCTION("""COMPUTED_VALUE"""),1)</f>
        <v>1</v>
      </c>
      <c r="C5" s="14" t="str">
        <f ca="1">IFERROR(__xludf.DUMMYFUNCTION("""COMPUTED_VALUE"""),"Maika Blázquez")</f>
        <v>Maika Blázquez</v>
      </c>
      <c r="D5" s="7" t="str">
        <f ca="1">IFERROR(__xludf.DUMMYFUNCTION("""COMPUTED_VALUE"""),"Fuenlabrada")</f>
        <v>Fuenlabrada</v>
      </c>
      <c r="E5" s="7" t="str">
        <f ca="1">IFERROR(__xludf.DUMMYFUNCTION("""COMPUTED_VALUE"""),"MBM111")</f>
        <v>MBM111</v>
      </c>
      <c r="F5" s="7" t="str">
        <f ca="1">IFERROR(__xludf.DUMMYFUNCTION("""COMPUTED_VALUE"""),"Elisabeth Amarillo Espitia")</f>
        <v>Elisabeth Amarillo Espitia</v>
      </c>
      <c r="G5" s="7" t="str">
        <f ca="1">IFERROR(__xludf.DUMMYFUNCTION("""COMPUTED_VALUE"""),"INSCRIPCION CURSO MICROCIRUGIA")</f>
        <v>INSCRIPCION CURSO MICROCIRUGIA</v>
      </c>
      <c r="H5" s="15" t="str">
        <f ca="1">IFERROR(__xludf.DUMMYFUNCTION("""COMPUTED_VALUE"""),"Inscripción")</f>
        <v>Inscripción</v>
      </c>
      <c r="I5" s="16"/>
      <c r="J5" s="16">
        <f ca="1">IFERROR(__xludf.DUMMYFUNCTION("""COMPUTED_VALUE"""),46035)</f>
        <v>46035</v>
      </c>
      <c r="K5" s="7">
        <f ca="1">IFERROR(__xludf.DUMMYFUNCTION("""COMPUTED_VALUE"""),-1663.35)</f>
        <v>-1663.35</v>
      </c>
      <c r="L5" s="7" t="str">
        <f ca="1">IFERROR(__xludf.DUMMYFUNCTION("""COMPUTED_VALUE"""),"AUDIBRADA")</f>
        <v>AUDIBRADA</v>
      </c>
      <c r="M5" s="7"/>
      <c r="N5" s="7"/>
    </row>
    <row r="6" spans="1:28">
      <c r="A6" s="8" t="str">
        <f ca="1">IF(C6="","",IFERROR(VLOOKUP($E6,códigos!$R:$R,1,FALSE),"NO"))</f>
        <v>NO</v>
      </c>
      <c r="B6" s="7">
        <f ca="1">IFERROR(__xludf.DUMMYFUNCTION("""COMPUTED_VALUE"""),1)</f>
        <v>1</v>
      </c>
      <c r="C6" s="14" t="str">
        <f ca="1">IFERROR(__xludf.DUMMYFUNCTION("""COMPUTED_VALUE"""),"Maika Blázquez")</f>
        <v>Maika Blázquez</v>
      </c>
      <c r="D6" s="7" t="str">
        <f ca="1">IFERROR(__xludf.DUMMYFUNCTION("""COMPUTED_VALUE"""),"Madrid- Canillas")</f>
        <v>Madrid- Canillas</v>
      </c>
      <c r="E6" s="7" t="str">
        <f ca="1">IFERROR(__xludf.DUMMYFUNCTION("""COMPUTED_VALUE"""),"MBM50")</f>
        <v>MBM50</v>
      </c>
      <c r="F6" s="7" t="str">
        <f ca="1">IFERROR(__xludf.DUMMYFUNCTION("""COMPUTED_VALUE"""),"José Gustavo Barroso Braojos")</f>
        <v>José Gustavo Barroso Braojos</v>
      </c>
      <c r="G6" s="7" t="str">
        <f ca="1">IFERROR(__xludf.DUMMYFUNCTION("""COMPUTED_VALUE"""),"2 SMARTWATCH")</f>
        <v>2 SMARTWATCH</v>
      </c>
      <c r="H6" s="15" t="str">
        <f ca="1">IFERROR(__xludf.DUMMYFUNCTION("""COMPUTED_VALUE"""),"Material para centro")</f>
        <v>Material para centro</v>
      </c>
      <c r="I6" s="16">
        <f ca="1">IFERROR(__xludf.DUMMYFUNCTION("""COMPUTED_VALUE"""),46036)</f>
        <v>46036</v>
      </c>
      <c r="J6" s="16">
        <f ca="1">IFERROR(__xludf.DUMMYFUNCTION("""COMPUTED_VALUE"""),46035)</f>
        <v>46035</v>
      </c>
      <c r="K6" s="7">
        <f ca="1">IFERROR(__xludf.DUMMYFUNCTION("""COMPUTED_VALUE"""),-899.98)</f>
        <v>-899.98</v>
      </c>
      <c r="L6" s="7" t="str">
        <f ca="1">IFERROR(__xludf.DUMMYFUNCTION("""COMPUTED_VALUE"""),"AUDICOST, S.L.U")</f>
        <v>AUDICOST, S.L.U</v>
      </c>
      <c r="M6" s="7"/>
      <c r="N6" s="7"/>
    </row>
    <row r="7" spans="1:28">
      <c r="A7" s="8" t="str">
        <f ca="1">IF(C7="","",IFERROR(VLOOKUP($E7,códigos!$R:$R,1,FALSE),"NO"))</f>
        <v>NO</v>
      </c>
      <c r="B7" s="7">
        <f ca="1">IFERROR(__xludf.DUMMYFUNCTION("""COMPUTED_VALUE"""),1)</f>
        <v>1</v>
      </c>
      <c r="C7" s="14" t="str">
        <f ca="1">IFERROR(__xludf.DUMMYFUNCTION("""COMPUTED_VALUE"""),"Luis Alberto Rodríguez")</f>
        <v>Luis Alberto Rodríguez</v>
      </c>
      <c r="D7" s="7" t="str">
        <f ca="1">IFERROR(__xludf.DUMMYFUNCTION("""COMPUTED_VALUE"""),"Sevilla- Montoto")</f>
        <v>Sevilla- Montoto</v>
      </c>
      <c r="E7" s="7" t="str">
        <f ca="1">IFERROR(__xludf.DUMMYFUNCTION("""COMPUTED_VALUE"""),"LAA08")</f>
        <v>LAA08</v>
      </c>
      <c r="F7" s="7" t="str">
        <f ca="1">IFERROR(__xludf.DUMMYFUNCTION("""COMPUTED_VALUE"""),"David Castro Gutiérrez de Agüero")</f>
        <v>David Castro Gutiérrez de Agüero</v>
      </c>
      <c r="G7" s="7" t="str">
        <f ca="1">IFERROR(__xludf.DUMMYFUNCTION("""COMPUTED_VALUE"""),"IPHONE17 PRO")</f>
        <v>IPHONE17 PRO</v>
      </c>
      <c r="H7" s="15" t="str">
        <f ca="1">IFERROR(__xludf.DUMMYFUNCTION("""COMPUTED_VALUE"""),"Material para centro")</f>
        <v>Material para centro</v>
      </c>
      <c r="I7" s="16">
        <f ca="1">IFERROR(__xludf.DUMMYFUNCTION("""COMPUTED_VALUE"""),46042)</f>
        <v>46042</v>
      </c>
      <c r="J7" s="16">
        <f ca="1">IFERROR(__xludf.DUMMYFUNCTION("""COMPUTED_VALUE"""),46037)</f>
        <v>46037</v>
      </c>
      <c r="K7" s="7">
        <f ca="1">IFERROR(__xludf.DUMMYFUNCTION("""COMPUTED_VALUE"""),-1289)</f>
        <v>-1289</v>
      </c>
      <c r="L7" s="7" t="str">
        <f ca="1">IFERROR(__xludf.DUMMYFUNCTION("""COMPUTED_VALUE"""),"OIR VITAL CENTROS AUDITIVOS ")</f>
        <v>OIR VITAL CENTROS AUDITIVOS </v>
      </c>
      <c r="M7" s="7"/>
      <c r="N7" s="7"/>
    </row>
    <row r="8" spans="1:28">
      <c r="A8" s="8" t="str">
        <f ca="1">IF(C8="","",IFERROR(VLOOKUP($E8,códigos!$R:$R,1,FALSE),"NO"))</f>
        <v>NO</v>
      </c>
      <c r="B8" s="7">
        <f ca="1">IFERROR(__xludf.DUMMYFUNCTION("""COMPUTED_VALUE"""),1)</f>
        <v>1</v>
      </c>
      <c r="C8" s="14" t="str">
        <f ca="1">IFERROR(__xludf.DUMMYFUNCTION("""COMPUTED_VALUE"""),"Maika Blázquez")</f>
        <v>Maika Blázquez</v>
      </c>
      <c r="D8" s="7" t="str">
        <f ca="1">IFERROR(__xludf.DUMMYFUNCTION("""COMPUTED_VALUE"""),"Torrejón De Ardoz")</f>
        <v>Torrejón De Ardoz</v>
      </c>
      <c r="E8" s="7" t="str">
        <f ca="1">IFERROR(__xludf.DUMMYFUNCTION("""COMPUTED_VALUE"""),"MBM136")</f>
        <v>MBM136</v>
      </c>
      <c r="F8" s="7" t="str">
        <f ca="1">IFERROR(__xludf.DUMMYFUNCTION("""COMPUTED_VALUE"""),"Lorena Sanz López")</f>
        <v>Lorena Sanz López</v>
      </c>
      <c r="G8" s="7" t="str">
        <f ca="1">IFERROR(__xludf.DUMMYFUNCTION("""COMPUTED_VALUE"""),"INSCRIPCION, VUELO Y HOTEL-MAYOR IMPORTE DICBRE.")</f>
        <v>INSCRIPCION, VUELO Y HOTEL-MAYOR IMPORTE DICBRE.</v>
      </c>
      <c r="H8" s="15" t="str">
        <f ca="1">IFERROR(__xludf.DUMMYFUNCTION("""COMPUTED_VALUE"""),"Inscripción")</f>
        <v>Inscripción</v>
      </c>
      <c r="I8" s="16">
        <f ca="1">IFERROR(__xludf.DUMMYFUNCTION("""COMPUTED_VALUE"""),46042)</f>
        <v>46042</v>
      </c>
      <c r="J8" s="16">
        <f ca="1">IFERROR(__xludf.DUMMYFUNCTION("""COMPUTED_VALUE"""),46041)</f>
        <v>46041</v>
      </c>
      <c r="K8" s="7">
        <f ca="1">IFERROR(__xludf.DUMMYFUNCTION("""COMPUTED_VALUE"""),-205.75)</f>
        <v>-205.75</v>
      </c>
      <c r="L8" s="7" t="str">
        <f ca="1">IFERROR(__xludf.DUMMYFUNCTION("""COMPUTED_VALUE"""),"AUDICOST LEGANES")</f>
        <v>AUDICOST LEGANES</v>
      </c>
      <c r="M8" s="7"/>
      <c r="N8" s="7"/>
    </row>
    <row r="9" spans="1:28">
      <c r="A9" s="8" t="str">
        <f ca="1">IF(C9="","",IFERROR(VLOOKUP($E9,códigos!$R:$R,1,FALSE),"NO"))</f>
        <v>NO</v>
      </c>
      <c r="B9" s="7">
        <f ca="1">IFERROR(__xludf.DUMMYFUNCTION("""COMPUTED_VALUE"""),1)</f>
        <v>1</v>
      </c>
      <c r="C9" s="14" t="str">
        <f ca="1">IFERROR(__xludf.DUMMYFUNCTION("""COMPUTED_VALUE"""),"Maika Blázquez")</f>
        <v>Maika Blázquez</v>
      </c>
      <c r="D9" s="7" t="str">
        <f ca="1">IFERROR(__xludf.DUMMYFUNCTION("""COMPUTED_VALUE"""),"Madrid- La Oca")</f>
        <v>Madrid- La Oca</v>
      </c>
      <c r="E9" s="7" t="str">
        <f ca="1">IFERROR(__xludf.DUMMYFUNCTION("""COMPUTED_VALUE"""),"MBM52")</f>
        <v>MBM52</v>
      </c>
      <c r="F9" s="7" t="str">
        <f ca="1">IFERROR(__xludf.DUMMYFUNCTION("""COMPUTED_VALUE"""),"José Joaquín Gutiérrez Barquín")</f>
        <v>José Joaquín Gutiérrez Barquín</v>
      </c>
      <c r="G9" s="7" t="str">
        <f ca="1">IFERROR(__xludf.DUMMYFUNCTION("""COMPUTED_VALUE"""),"MESA")</f>
        <v>MESA</v>
      </c>
      <c r="H9" s="15" t="str">
        <f ca="1">IFERROR(__xludf.DUMMYFUNCTION("""COMPUTED_VALUE"""),"Mobiliario")</f>
        <v>Mobiliario</v>
      </c>
      <c r="I9" s="16">
        <f ca="1">IFERROR(__xludf.DUMMYFUNCTION("""COMPUTED_VALUE"""),46044)</f>
        <v>46044</v>
      </c>
      <c r="J9" s="17">
        <f ca="1">IFERROR(__xludf.DUMMYFUNCTION("""COMPUTED_VALUE"""),46042)</f>
        <v>46042</v>
      </c>
      <c r="K9" s="7">
        <f ca="1">IFERROR(__xludf.DUMMYFUNCTION("""COMPUTED_VALUE"""),-973)</f>
        <v>-973</v>
      </c>
      <c r="L9" s="7" t="str">
        <f ca="1">IFERROR(__xludf.DUMMYFUNCTION("""COMPUTED_VALUE"""),"SIEMA BLINK, S.L")</f>
        <v>SIEMA BLINK, S.L</v>
      </c>
      <c r="M9" s="7"/>
      <c r="N9" s="7"/>
    </row>
    <row r="10" spans="1:28">
      <c r="A10" s="8" t="str">
        <f ca="1">IF(C10="","",IFERROR(VLOOKUP($E10,códigos!$R:$R,1,FALSE),"NO"))</f>
        <v>NO</v>
      </c>
      <c r="B10" s="7">
        <f ca="1">IFERROR(__xludf.DUMMYFUNCTION("""COMPUTED_VALUE"""),1)</f>
        <v>1</v>
      </c>
      <c r="C10" s="14" t="str">
        <f ca="1">IFERROR(__xludf.DUMMYFUNCTION("""COMPUTED_VALUE"""),"Maika Blázquez")</f>
        <v>Maika Blázquez</v>
      </c>
      <c r="D10" s="7" t="str">
        <f ca="1">IFERROR(__xludf.DUMMYFUNCTION("""COMPUTED_VALUE"""),"Fuenlabrada")</f>
        <v>Fuenlabrada</v>
      </c>
      <c r="E10" s="7" t="str">
        <f ca="1">IFERROR(__xludf.DUMMYFUNCTION("""COMPUTED_VALUE"""),"MBM190")</f>
        <v>MBM190</v>
      </c>
      <c r="F10" s="7" t="str">
        <f ca="1">IFERROR(__xludf.DUMMYFUNCTION("""COMPUTED_VALUE"""),"Cristina García García")</f>
        <v>Cristina García García</v>
      </c>
      <c r="G10" s="7" t="str">
        <f ca="1">IFERROR(__xludf.DUMMYFUNCTION("""COMPUTED_VALUE"""),"CURSO 2")</f>
        <v>CURSO 2</v>
      </c>
      <c r="H10" s="15" t="str">
        <f ca="1">IFERROR(__xludf.DUMMYFUNCTION("""COMPUTED_VALUE"""),"Inscripción")</f>
        <v>Inscripción</v>
      </c>
      <c r="I10" s="16" t="str">
        <f ca="1">IFERROR(__xludf.DUMMYFUNCTION("""COMPUTED_VALUE""")," ")</f>
        <v xml:space="preserve"> </v>
      </c>
      <c r="J10" s="16">
        <f ca="1">IFERROR(__xludf.DUMMYFUNCTION("""COMPUTED_VALUE"""),46043)</f>
        <v>46043</v>
      </c>
      <c r="K10" s="7">
        <f ca="1">IFERROR(__xludf.DUMMYFUNCTION("""COMPUTED_VALUE"""),-1386.13)</f>
        <v>-1386.13</v>
      </c>
      <c r="L10" s="7" t="str">
        <f ca="1">IFERROR(__xludf.DUMMYFUNCTION("""COMPUTED_VALUE"""),"AUDIBRADA")</f>
        <v>AUDIBRADA</v>
      </c>
      <c r="M10" s="7"/>
      <c r="N10" s="7"/>
    </row>
    <row r="11" spans="1:28">
      <c r="A11" s="8" t="str">
        <f ca="1">IF(C11="","",IFERROR(VLOOKUP($E11,códigos!$R:$R,1,FALSE),"NO"))</f>
        <v>NO</v>
      </c>
      <c r="B11" s="7">
        <f ca="1">IFERROR(__xludf.DUMMYFUNCTION("""COMPUTED_VALUE"""),1)</f>
        <v>1</v>
      </c>
      <c r="C11" s="14" t="str">
        <f ca="1">IFERROR(__xludf.DUMMYFUNCTION("""COMPUTED_VALUE"""),"Maika Blázquez")</f>
        <v>Maika Blázquez</v>
      </c>
      <c r="D11" s="7" t="str">
        <f ca="1">IFERROR(__xludf.DUMMYFUNCTION("""COMPUTED_VALUE"""),"Fuenlabrada")</f>
        <v>Fuenlabrada</v>
      </c>
      <c r="E11" s="7" t="str">
        <f ca="1">IFERROR(__xludf.DUMMYFUNCTION("""COMPUTED_VALUE"""),"MBM190")</f>
        <v>MBM190</v>
      </c>
      <c r="F11" s="7" t="str">
        <f ca="1">IFERROR(__xludf.DUMMYFUNCTION("""COMPUTED_VALUE"""),"Cristina García García")</f>
        <v>Cristina García García</v>
      </c>
      <c r="G11" s="18" t="str">
        <f ca="1">IFERROR(__xludf.DUMMYFUNCTION("""COMPUTED_VALUE"""),"CURSO 1")</f>
        <v>CURSO 1</v>
      </c>
      <c r="H11" s="15" t="str">
        <f ca="1">IFERROR(__xludf.DUMMYFUNCTION("""COMPUTED_VALUE"""),"Inscripción")</f>
        <v>Inscripción</v>
      </c>
      <c r="I11" s="16" t="str">
        <f ca="1">IFERROR(__xludf.DUMMYFUNCTION("""COMPUTED_VALUE""")," ")</f>
        <v xml:space="preserve"> </v>
      </c>
      <c r="J11" s="16">
        <f ca="1">IFERROR(__xludf.DUMMYFUNCTION("""COMPUTED_VALUE"""),46043)</f>
        <v>46043</v>
      </c>
      <c r="K11" s="7">
        <f ca="1">IFERROR(__xludf.DUMMYFUNCTION("""COMPUTED_VALUE"""),-1386.13)</f>
        <v>-1386.13</v>
      </c>
      <c r="L11" s="7" t="str">
        <f ca="1">IFERROR(__xludf.DUMMYFUNCTION("""COMPUTED_VALUE"""),"AUDIBRADA")</f>
        <v>AUDIBRADA</v>
      </c>
      <c r="M11" s="7"/>
      <c r="N11" s="7"/>
    </row>
    <row r="12" spans="1:28">
      <c r="A12" s="8" t="str">
        <f ca="1">IF(C12="","",IFERROR(VLOOKUP($E12,códigos!$R:$R,1,FALSE),"NO"))</f>
        <v>NO</v>
      </c>
      <c r="B12" s="7">
        <f ca="1">IFERROR(__xludf.DUMMYFUNCTION("""COMPUTED_VALUE"""),1)</f>
        <v>1</v>
      </c>
      <c r="C12" s="14" t="str">
        <f ca="1">IFERROR(__xludf.DUMMYFUNCTION("""COMPUTED_VALUE"""),"Maika Blázquez")</f>
        <v>Maika Blázquez</v>
      </c>
      <c r="D12" s="7" t="str">
        <f ca="1">IFERROR(__xludf.DUMMYFUNCTION("""COMPUTED_VALUE"""),"Madrid- Juan Bravo")</f>
        <v>Madrid- Juan Bravo</v>
      </c>
      <c r="E12" s="7" t="str">
        <f ca="1">IFERROR(__xludf.DUMMYFUNCTION("""COMPUTED_VALUE"""),"MBM224")</f>
        <v>MBM224</v>
      </c>
      <c r="F12" s="7" t="str">
        <f ca="1">IFERROR(__xludf.DUMMYFUNCTION("""COMPUTED_VALUE"""),"Roberto Sanz Garzón")</f>
        <v>Roberto Sanz Garzón</v>
      </c>
      <c r="G12" s="7" t="str">
        <f ca="1">IFERROR(__xludf.DUMMYFUNCTION("""COMPUTED_VALUE"""),"CURSO")</f>
        <v>CURSO</v>
      </c>
      <c r="H12" s="15" t="str">
        <f ca="1">IFERROR(__xludf.DUMMYFUNCTION("""COMPUTED_VALUE"""),"Inscripción")</f>
        <v>Inscripción</v>
      </c>
      <c r="I12" s="16">
        <f ca="1">IFERROR(__xludf.DUMMYFUNCTION("""COMPUTED_VALUE"""),46043)</f>
        <v>46043</v>
      </c>
      <c r="J12" s="16">
        <f ca="1">IFERROR(__xludf.DUMMYFUNCTION("""COMPUTED_VALUE"""),46043)</f>
        <v>46043</v>
      </c>
      <c r="K12" s="7">
        <f ca="1">IFERROR(__xludf.DUMMYFUNCTION("""COMPUTED_VALUE"""),-600)</f>
        <v>-600</v>
      </c>
      <c r="L12" s="7" t="str">
        <f ca="1">IFERROR(__xludf.DUMMYFUNCTION("""COMPUTED_VALUE"""),"AUDICOST, S.L.U")</f>
        <v>AUDICOST, S.L.U</v>
      </c>
      <c r="M12" s="7"/>
      <c r="N12" s="7"/>
    </row>
    <row r="13" spans="1:28">
      <c r="A13" s="8" t="str">
        <f ca="1">IF(C13="","",IFERROR(VLOOKUP($E13,códigos!$R:$R,1,FALSE),"NO"))</f>
        <v>NO</v>
      </c>
      <c r="B13" s="7">
        <f ca="1">IFERROR(__xludf.DUMMYFUNCTION("""COMPUTED_VALUE"""),1)</f>
        <v>1</v>
      </c>
      <c r="C13" s="14" t="str">
        <f ca="1">IFERROR(__xludf.DUMMYFUNCTION("""COMPUTED_VALUE"""),"Lisandro Russian")</f>
        <v>Lisandro Russian</v>
      </c>
      <c r="D13" s="7" t="str">
        <f ca="1">IFERROR(__xludf.DUMMYFUNCTION("""COMPUTED_VALUE"""),"Logroño")</f>
        <v>Logroño</v>
      </c>
      <c r="E13" s="7" t="str">
        <f ca="1">IFERROR(__xludf.DUMMYFUNCTION("""COMPUTED_VALUE"""),"LRM151")</f>
        <v>LRM151</v>
      </c>
      <c r="F13" s="7" t="str">
        <f ca="1">IFERROR(__xludf.DUMMYFUNCTION("""COMPUTED_VALUE"""),"Cristina Ibañez Muñoz")</f>
        <v>Cristina Ibañez Muñoz</v>
      </c>
      <c r="G13" s="7" t="str">
        <f ca="1">IFERROR(__xludf.DUMMYFUNCTION("""COMPUTED_VALUE"""),"CONGRESO ATENAS")</f>
        <v>CONGRESO ATENAS</v>
      </c>
      <c r="H13" s="15" t="str">
        <f ca="1">IFERROR(__xludf.DUMMYFUNCTION("""COMPUTED_VALUE"""),"Congreso internacional personal")</f>
        <v>Congreso internacional personal</v>
      </c>
      <c r="I13" s="17">
        <f ca="1">IFERROR(__xludf.DUMMYFUNCTION("""COMPUTED_VALUE"""),46058)</f>
        <v>46058</v>
      </c>
      <c r="J13" s="16">
        <f ca="1">IFERROR(__xludf.DUMMYFUNCTION("""COMPUTED_VALUE"""),46044)</f>
        <v>46044</v>
      </c>
      <c r="K13" s="7">
        <f ca="1">IFERROR(__xludf.DUMMYFUNCTION("""COMPUTED_VALUE"""),-4701.07)</f>
        <v>-4701.07</v>
      </c>
      <c r="L13" s="7" t="str">
        <f ca="1">IFERROR(__xludf.DUMMYFUNCTION("""COMPUTED_VALUE"""),"AUDICOST LOGROÑO ")</f>
        <v>AUDICOST LOGROÑO </v>
      </c>
      <c r="M13" s="7"/>
      <c r="N13" s="7"/>
    </row>
    <row r="14" spans="1:28">
      <c r="A14" s="8" t="str">
        <f ca="1">IF(C14="","",IFERROR(VLOOKUP($E14,códigos!$R:$R,1,FALSE),"NO"))</f>
        <v>NO</v>
      </c>
      <c r="B14" s="7">
        <f ca="1">IFERROR(__xludf.DUMMYFUNCTION("""COMPUTED_VALUE"""),1)</f>
        <v>1</v>
      </c>
      <c r="C14" s="14" t="str">
        <f ca="1">IFERROR(__xludf.DUMMYFUNCTION("""COMPUTED_VALUE"""),"Ramon Ferrando")</f>
        <v>Ramon Ferrando</v>
      </c>
      <c r="D14" s="7" t="str">
        <f ca="1">IFERROR(__xludf.DUMMYFUNCTION("""COMPUTED_VALUE"""),"El Albir (Benidorm)")</f>
        <v>El Albir (Benidorm)</v>
      </c>
      <c r="E14" s="7" t="str">
        <f ca="1">IFERROR(__xludf.DUMMYFUNCTION("""COMPUTED_VALUE"""),"RFV38")</f>
        <v>RFV38</v>
      </c>
      <c r="F14" s="7" t="str">
        <f ca="1">IFERROR(__xludf.DUMMYFUNCTION("""COMPUTED_VALUE"""),"María Emilia García Ruiz")</f>
        <v>María Emilia García Ruiz</v>
      </c>
      <c r="G14" s="7" t="str">
        <f ca="1">IFERROR(__xludf.DUMMYFUNCTION("""COMPUTED_VALUE"""),"IPHONE17 ")</f>
        <v xml:space="preserve">IPHONE17 </v>
      </c>
      <c r="H14" s="15" t="str">
        <f ca="1">IFERROR(__xludf.DUMMYFUNCTION("""COMPUTED_VALUE"""),"Material para centro")</f>
        <v>Material para centro</v>
      </c>
      <c r="I14" s="16"/>
      <c r="J14" s="16">
        <f ca="1">IFERROR(__xludf.DUMMYFUNCTION("""COMPUTED_VALUE"""),46045)</f>
        <v>46045</v>
      </c>
      <c r="K14" s="7">
        <f ca="1">IFERROR(__xludf.DUMMYFUNCTION("""COMPUTED_VALUE"""),-1500)</f>
        <v>-1500</v>
      </c>
      <c r="L14" s="7" t="str">
        <f ca="1">IFERROR(__xludf.DUMMYFUNCTION("""COMPUTED_VALUE"""),"AUDICANTE")</f>
        <v>AUDICANTE</v>
      </c>
      <c r="M14" s="7"/>
      <c r="N14" s="7"/>
    </row>
    <row r="15" spans="1:28">
      <c r="A15" s="8" t="str">
        <f ca="1">IF(C15="","",IFERROR(VLOOKUP($E15,códigos!$R:$R,1,FALSE),"NO"))</f>
        <v>NO</v>
      </c>
      <c r="B15" s="7">
        <f ca="1">IFERROR(__xludf.DUMMYFUNCTION("""COMPUTED_VALUE"""),1)</f>
        <v>1</v>
      </c>
      <c r="C15" s="14" t="str">
        <f ca="1">IFERROR(__xludf.DUMMYFUNCTION("""COMPUTED_VALUE"""),"Maika Blázquez")</f>
        <v>Maika Blázquez</v>
      </c>
      <c r="D15" s="7" t="str">
        <f ca="1">IFERROR(__xludf.DUMMYFUNCTION("""COMPUTED_VALUE"""),"Torrejón De Ardoz")</f>
        <v>Torrejón De Ardoz</v>
      </c>
      <c r="E15" s="7" t="str">
        <f ca="1">IFERROR(__xludf.DUMMYFUNCTION("""COMPUTED_VALUE"""),"MBM187")</f>
        <v>MBM187</v>
      </c>
      <c r="F15" s="7" t="str">
        <f ca="1">IFERROR(__xludf.DUMMYFUNCTION("""COMPUTED_VALUE"""),"Abel Bogoya Castaño")</f>
        <v>Abel Bogoya Castaño</v>
      </c>
      <c r="G15" s="7" t="str">
        <f ca="1">IFERROR(__xludf.DUMMYFUNCTION("""COMPUTED_VALUE"""),"CURSO")</f>
        <v>CURSO</v>
      </c>
      <c r="H15" s="15" t="str">
        <f ca="1">IFERROR(__xludf.DUMMYFUNCTION("""COMPUTED_VALUE"""),"Inscripción")</f>
        <v>Inscripción</v>
      </c>
      <c r="I15" s="17"/>
      <c r="J15" s="7"/>
      <c r="K15" s="7"/>
      <c r="L15" s="7" t="str">
        <f ca="1">IFERROR(__xludf.DUMMYFUNCTION("""COMPUTED_VALUE"""),"AUDICOST LEGANES")</f>
        <v>AUDICOST LEGANES</v>
      </c>
      <c r="M15" s="7"/>
      <c r="N15" s="7"/>
    </row>
    <row r="16" spans="1:28">
      <c r="A16" s="8" t="str">
        <f ca="1">IF(C16="","",IFERROR(VLOOKUP($E16,códigos!$R:$R,1,FALSE),"NO"))</f>
        <v>NO</v>
      </c>
      <c r="B16" s="7">
        <f ca="1">IFERROR(__xludf.DUMMYFUNCTION("""COMPUTED_VALUE"""),1)</f>
        <v>1</v>
      </c>
      <c r="C16" s="14" t="str">
        <f ca="1">IFERROR(__xludf.DUMMYFUNCTION("""COMPUTED_VALUE"""),"Ramon Ferrando")</f>
        <v>Ramon Ferrando</v>
      </c>
      <c r="D16" s="7" t="str">
        <f ca="1">IFERROR(__xludf.DUMMYFUNCTION("""COMPUTED_VALUE"""),"Valencia- Cadiz")</f>
        <v>Valencia- Cadiz</v>
      </c>
      <c r="E16" s="7" t="str">
        <f ca="1">IFERROR(__xludf.DUMMYFUNCTION("""COMPUTED_VALUE"""),"RFV48")</f>
        <v>RFV48</v>
      </c>
      <c r="F16" s="7" t="str">
        <f ca="1">IFERROR(__xludf.DUMMYFUNCTION("""COMPUTED_VALUE"""),"Elena González Turienzo")</f>
        <v>Elena González Turienzo</v>
      </c>
      <c r="G16" s="7" t="str">
        <f ca="1">IFERROR(__xludf.DUMMYFUNCTION("""COMPUTED_VALUE"""),"CURSO")</f>
        <v>CURSO</v>
      </c>
      <c r="H16" s="15" t="str">
        <f ca="1">IFERROR(__xludf.DUMMYFUNCTION("""COMPUTED_VALUE"""),"Inscripción")</f>
        <v>Inscripción</v>
      </c>
      <c r="I16" s="16">
        <f ca="1">IFERROR(__xludf.DUMMYFUNCTION("""COMPUTED_VALUE"""),46058)</f>
        <v>46058</v>
      </c>
      <c r="J16" s="16">
        <f ca="1">IFERROR(__xludf.DUMMYFUNCTION("""COMPUTED_VALUE"""),46049)</f>
        <v>46049</v>
      </c>
      <c r="K16" s="7">
        <f ca="1">IFERROR(__xludf.DUMMYFUNCTION("""COMPUTED_VALUE"""),-133.07)</f>
        <v>-133.07</v>
      </c>
      <c r="L16" s="7" t="str">
        <f ca="1">IFERROR(__xludf.DUMMYFUNCTION("""COMPUTED_VALUE"""),"AUDICANTE")</f>
        <v>AUDICANTE</v>
      </c>
      <c r="M16" s="7"/>
      <c r="N16" s="7"/>
    </row>
    <row r="17" spans="1:14">
      <c r="A17" s="8" t="str">
        <f ca="1">IF(C17="","",IFERROR(VLOOKUP($E17,códigos!$R:$R,1,FALSE),"NO"))</f>
        <v>NO</v>
      </c>
      <c r="B17" s="7">
        <f ca="1">IFERROR(__xludf.DUMMYFUNCTION("""COMPUTED_VALUE"""),2)</f>
        <v>2</v>
      </c>
      <c r="C17" s="14" t="str">
        <f ca="1">IFERROR(__xludf.DUMMYFUNCTION("""COMPUTED_VALUE"""),"Maika Blázquez")</f>
        <v>Maika Blázquez</v>
      </c>
      <c r="D17" s="7" t="str">
        <f ca="1">IFERROR(__xludf.DUMMYFUNCTION("""COMPUTED_VALUE"""),"Torrejón De Ardoz")</f>
        <v>Torrejón De Ardoz</v>
      </c>
      <c r="E17" s="7" t="str">
        <f ca="1">IFERROR(__xludf.DUMMYFUNCTION("""COMPUTED_VALUE"""),"MBM61")</f>
        <v>MBM61</v>
      </c>
      <c r="F17" s="7" t="str">
        <f ca="1">IFERROR(__xludf.DUMMYFUNCTION("""COMPUTED_VALUE"""),"Julie Múñoz Freitez")</f>
        <v>Julie Múñoz Freitez</v>
      </c>
      <c r="G17" s="7" t="str">
        <f ca="1">IFERROR(__xludf.DUMMYFUNCTION("""COMPUTED_VALUE"""),"CURSO")</f>
        <v>CURSO</v>
      </c>
      <c r="H17" s="15" t="str">
        <f ca="1">IFERROR(__xludf.DUMMYFUNCTION("""COMPUTED_VALUE"""),"Inscripción")</f>
        <v>Inscripción</v>
      </c>
      <c r="I17" s="16">
        <f ca="1">IFERROR(__xludf.DUMMYFUNCTION("""COMPUTED_VALUE"""),46062)</f>
        <v>46062</v>
      </c>
      <c r="J17" s="16">
        <f ca="1">IFERROR(__xludf.DUMMYFUNCTION("""COMPUTED_VALUE"""),46056)</f>
        <v>46056</v>
      </c>
      <c r="K17" s="7">
        <f ca="1">IFERROR(__xludf.DUMMYFUNCTION("""COMPUTED_VALUE"""),-2772.25)</f>
        <v>-2772.25</v>
      </c>
      <c r="L17" s="7" t="str">
        <f ca="1">IFERROR(__xludf.DUMMYFUNCTION("""COMPUTED_VALUE"""),"AUDICOST LEGANES")</f>
        <v>AUDICOST LEGANES</v>
      </c>
      <c r="M17" s="7"/>
      <c r="N17" s="7"/>
    </row>
    <row r="18" spans="1:14">
      <c r="A18" s="8" t="str">
        <f ca="1">IF(C18="","",IFERROR(VLOOKUP($E18,códigos!$R:$R,1,FALSE),"NO"))</f>
        <v>NO</v>
      </c>
      <c r="B18" s="7">
        <f ca="1">IFERROR(__xludf.DUMMYFUNCTION("""COMPUTED_VALUE"""),2)</f>
        <v>2</v>
      </c>
      <c r="C18" s="14" t="str">
        <f ca="1">IFERROR(__xludf.DUMMYFUNCTION("""COMPUTED_VALUE"""),"Maika Blázquez")</f>
        <v>Maika Blázquez</v>
      </c>
      <c r="D18" s="7" t="str">
        <f ca="1">IFERROR(__xludf.DUMMYFUNCTION("""COMPUTED_VALUE"""),"Fuenlabrada")</f>
        <v>Fuenlabrada</v>
      </c>
      <c r="E18" s="7" t="str">
        <f ca="1">IFERROR(__xludf.DUMMYFUNCTION("""COMPUTED_VALUE"""),"MBM147")</f>
        <v>MBM147</v>
      </c>
      <c r="F18" s="7" t="str">
        <f ca="1">IFERROR(__xludf.DUMMYFUNCTION("""COMPUTED_VALUE"""),"María Estefanía Hernández García")</f>
        <v>María Estefanía Hernández García</v>
      </c>
      <c r="G18" s="7" t="str">
        <f ca="1">IFERROR(__xludf.DUMMYFUNCTION("""COMPUTED_VALUE"""),"CURSO")</f>
        <v>CURSO</v>
      </c>
      <c r="H18" s="15" t="str">
        <f ca="1">IFERROR(__xludf.DUMMYFUNCTION("""COMPUTED_VALUE"""),"Inscripción")</f>
        <v>Inscripción</v>
      </c>
      <c r="I18" s="16">
        <f ca="1">IFERROR(__xludf.DUMMYFUNCTION("""COMPUTED_VALUE"""),46064)</f>
        <v>46064</v>
      </c>
      <c r="J18" s="16">
        <f ca="1">IFERROR(__xludf.DUMMYFUNCTION("""COMPUTED_VALUE"""),46056)</f>
        <v>46056</v>
      </c>
      <c r="K18" s="7">
        <f ca="1">IFERROR(__xludf.DUMMYFUNCTION("""COMPUTED_VALUE"""),-443.56)</f>
        <v>-443.56</v>
      </c>
      <c r="L18" s="7" t="str">
        <f ca="1">IFERROR(__xludf.DUMMYFUNCTION("""COMPUTED_VALUE"""),"AUDIBRADA")</f>
        <v>AUDIBRADA</v>
      </c>
      <c r="M18" s="7"/>
      <c r="N18" s="7"/>
    </row>
    <row r="19" spans="1:14">
      <c r="A19" s="8" t="str">
        <f ca="1">IF(C19="","",IFERROR(VLOOKUP($E19,códigos!$R:$R,1,FALSE),"NO"))</f>
        <v>NO</v>
      </c>
      <c r="B19" s="7">
        <f ca="1">IFERROR(__xludf.DUMMYFUNCTION("""COMPUTED_VALUE"""),2)</f>
        <v>2</v>
      </c>
      <c r="C19" s="14" t="str">
        <f ca="1">IFERROR(__xludf.DUMMYFUNCTION("""COMPUTED_VALUE"""),"Ramon Ferrando")</f>
        <v>Ramon Ferrando</v>
      </c>
      <c r="D19" s="7" t="str">
        <f ca="1">IFERROR(__xludf.DUMMYFUNCTION("""COMPUTED_VALUE"""),"Valencia- Parra")</f>
        <v>Valencia- Parra</v>
      </c>
      <c r="E19" s="7" t="str">
        <f ca="1">IFERROR(__xludf.DUMMYFUNCTION("""COMPUTED_VALUE"""),"RFV15")</f>
        <v>RFV15</v>
      </c>
      <c r="F19" s="7" t="str">
        <f ca="1">IFERROR(__xludf.DUMMYFUNCTION("""COMPUTED_VALUE"""),"Jean Franco Intraprendente Martini")</f>
        <v>Jean Franco Intraprendente Martini</v>
      </c>
      <c r="G19" s="7" t="str">
        <f ca="1">IFERROR(__xludf.DUMMYFUNCTION("""COMPUTED_VALUE"""),"APPLEWATCH")</f>
        <v>APPLEWATCH</v>
      </c>
      <c r="H19" s="15" t="str">
        <f ca="1">IFERROR(__xludf.DUMMYFUNCTION("""COMPUTED_VALUE"""),"Material para centro")</f>
        <v>Material para centro</v>
      </c>
      <c r="I19" s="16"/>
      <c r="J19" s="16">
        <f ca="1">IFERROR(__xludf.DUMMYFUNCTION("""COMPUTED_VALUE"""),46055)</f>
        <v>46055</v>
      </c>
      <c r="K19" s="7">
        <f ca="1">IFERROR(__xludf.DUMMYFUNCTION("""COMPUTED_VALUE"""),-899)</f>
        <v>-899</v>
      </c>
      <c r="L19" s="7" t="str">
        <f ca="1">IFERROR(__xludf.DUMMYFUNCTION("""COMPUTED_VALUE"""),"AUDICOST, S.L.U")</f>
        <v>AUDICOST, S.L.U</v>
      </c>
      <c r="M19" s="7"/>
      <c r="N19" s="7"/>
    </row>
    <row r="20" spans="1:14">
      <c r="A20" s="8" t="str">
        <f ca="1">IF(C20="","",IFERROR(VLOOKUP($E20,códigos!$R:$R,1,FALSE),"NO"))</f>
        <v>NO</v>
      </c>
      <c r="B20" s="7">
        <f ca="1">IFERROR(__xludf.DUMMYFUNCTION("""COMPUTED_VALUE"""),2)</f>
        <v>2</v>
      </c>
      <c r="C20" s="14" t="str">
        <f ca="1">IFERROR(__xludf.DUMMYFUNCTION("""COMPUTED_VALUE"""),"Iván Sánchez")</f>
        <v>Iván Sánchez</v>
      </c>
      <c r="D20" s="7" t="str">
        <f ca="1">IFERROR(__xludf.DUMMYFUNCTION("""COMPUTED_VALUE"""),"El Albir (Benidorm)")</f>
        <v>El Albir (Benidorm)</v>
      </c>
      <c r="E20" s="7" t="str">
        <f ca="1">IFERROR(__xludf.DUMMYFUNCTION("""COMPUTED_VALUE"""),"ISL54")</f>
        <v>ISL54</v>
      </c>
      <c r="F20" s="7" t="str">
        <f ca="1">IFERROR(__xludf.DUMMYFUNCTION("""COMPUTED_VALUE"""),"José María Laborda Margolles")</f>
        <v>José María Laborda Margolles</v>
      </c>
      <c r="G20" s="7" t="str">
        <f ca="1">IFERROR(__xludf.DUMMYFUNCTION("""COMPUTED_VALUE"""),"VIAJE A TANZANIA")</f>
        <v>VIAJE A TANZANIA</v>
      </c>
      <c r="H20" s="15" t="str">
        <f ca="1">IFERROR(__xludf.DUMMYFUNCTION("""COMPUTED_VALUE"""),"Congreso internacional")</f>
        <v>Congreso internacional</v>
      </c>
      <c r="I20" s="16">
        <f ca="1">IFERROR(__xludf.DUMMYFUNCTION("""COMPUTED_VALUE"""),46059)</f>
        <v>46059</v>
      </c>
      <c r="J20" s="16">
        <f ca="1">IFERROR(__xludf.DUMMYFUNCTION("""COMPUTED_VALUE"""),46059)</f>
        <v>46059</v>
      </c>
      <c r="K20" s="7">
        <f ca="1">IFERROR(__xludf.DUMMYFUNCTION("""COMPUTED_VALUE"""),-4000)</f>
        <v>-4000</v>
      </c>
      <c r="L20" s="7" t="str">
        <f ca="1">IFERROR(__xludf.DUMMYFUNCTION("""COMPUTED_VALUE"""),"AUDICANTE")</f>
        <v>AUDICANTE</v>
      </c>
      <c r="M20" s="7"/>
      <c r="N20" s="7"/>
    </row>
    <row r="21" spans="1:14">
      <c r="A21" s="8" t="str">
        <f ca="1">IF(C21="","",IFERROR(VLOOKUP($E21,códigos!$R:$R,1,FALSE),"NO"))</f>
        <v>NO</v>
      </c>
      <c r="B21" s="7">
        <f ca="1">IFERROR(__xludf.DUMMYFUNCTION("""COMPUTED_VALUE"""),2)</f>
        <v>2</v>
      </c>
      <c r="C21" s="14" t="str">
        <f ca="1">IFERROR(__xludf.DUMMYFUNCTION("""COMPUTED_VALUE"""),"Lisandro Russian")</f>
        <v>Lisandro Russian</v>
      </c>
      <c r="D21" s="7" t="str">
        <f ca="1">IFERROR(__xludf.DUMMYFUNCTION("""COMPUTED_VALUE"""),"Logroño")</f>
        <v>Logroño</v>
      </c>
      <c r="E21" s="7" t="str">
        <f ca="1">IFERROR(__xludf.DUMMYFUNCTION("""COMPUTED_VALUE"""),"LRM264")</f>
        <v>LRM264</v>
      </c>
      <c r="F21" s="7" t="str">
        <f ca="1">IFERROR(__xludf.DUMMYFUNCTION("""COMPUTED_VALUE"""),"Carmen Delgado Muñoz")</f>
        <v>Carmen Delgado Muñoz</v>
      </c>
      <c r="G21" s="7" t="str">
        <f ca="1">IFERROR(__xludf.DUMMYFUNCTION("""COMPUTED_VALUE"""),"IPHONE15")</f>
        <v>IPHONE15</v>
      </c>
      <c r="H21" s="15" t="str">
        <f ca="1">IFERROR(__xludf.DUMMYFUNCTION("""COMPUTED_VALUE"""),"Material para centro")</f>
        <v>Material para centro</v>
      </c>
      <c r="I21" s="16"/>
      <c r="J21" s="16">
        <f ca="1">IFERROR(__xludf.DUMMYFUNCTION("""COMPUTED_VALUE"""),46049)</f>
        <v>46049</v>
      </c>
      <c r="K21" s="7">
        <f ca="1">IFERROR(__xludf.DUMMYFUNCTION("""COMPUTED_VALUE"""),-626.99)</f>
        <v>-626.99</v>
      </c>
      <c r="L21" s="7" t="str">
        <f ca="1">IFERROR(__xludf.DUMMYFUNCTION("""COMPUTED_VALUE"""),"AUDICOST LOGROÑO ")</f>
        <v>AUDICOST LOGROÑO </v>
      </c>
      <c r="M21" s="7"/>
      <c r="N21" s="7"/>
    </row>
    <row r="22" spans="1:14">
      <c r="A22" s="8" t="str">
        <f ca="1">IF(C22="","",IFERROR(VLOOKUP($E22,códigos!$R:$R,1,FALSE),"NO"))</f>
        <v>NO</v>
      </c>
      <c r="B22" s="7">
        <f ca="1">IFERROR(__xludf.DUMMYFUNCTION("""COMPUTED_VALUE"""),1)</f>
        <v>1</v>
      </c>
      <c r="C22" s="14" t="str">
        <f ca="1">IFERROR(__xludf.DUMMYFUNCTION("""COMPUTED_VALUE"""),"Lisandro Russian")</f>
        <v>Lisandro Russian</v>
      </c>
      <c r="D22" s="7" t="str">
        <f ca="1">IFERROR(__xludf.DUMMYFUNCTION("""COMPUTED_VALUE"""),"Alcorcón")</f>
        <v>Alcorcón</v>
      </c>
      <c r="E22" s="7" t="str">
        <f ca="1">IFERROR(__xludf.DUMMYFUNCTION("""COMPUTED_VALUE"""),"LRM82")</f>
        <v>LRM82</v>
      </c>
      <c r="F22" s="7" t="str">
        <f ca="1">IFERROR(__xludf.DUMMYFUNCTION("""COMPUTED_VALUE"""),"José Miguel Aparicio Fernández")</f>
        <v>José Miguel Aparicio Fernández</v>
      </c>
      <c r="G22" s="7" t="str">
        <f ca="1">IFERROR(__xludf.DUMMYFUNCTION("""COMPUTED_VALUE"""),"CURSO PARA R4 TERESA CONDE GOMEZ-MENOR")</f>
        <v>CURSO PARA R4 TERESA CONDE GOMEZ-MENOR</v>
      </c>
      <c r="H22" s="15" t="str">
        <f ca="1">IFERROR(__xludf.DUMMYFUNCTION("""COMPUTED_VALUE"""),"Inscripción")</f>
        <v>Inscripción</v>
      </c>
      <c r="I22" s="17">
        <f ca="1">IFERROR(__xludf.DUMMYFUNCTION("""COMPUTED_VALUE"""),46062)</f>
        <v>46062</v>
      </c>
      <c r="J22" s="16">
        <f ca="1">IFERROR(__xludf.DUMMYFUNCTION("""COMPUTED_VALUE"""),46036)</f>
        <v>46036</v>
      </c>
      <c r="K22" s="7">
        <f ca="1">IFERROR(__xludf.DUMMYFUNCTION("""COMPUTED_VALUE"""),-310.5)</f>
        <v>-310.5</v>
      </c>
      <c r="L22" s="7" t="str">
        <f ca="1">IFERROR(__xludf.DUMMYFUNCTION("""COMPUTED_VALUE"""),"CLINICA DOS DE MAYO ")</f>
        <v>CLINICA DOS DE MAYO </v>
      </c>
      <c r="M22" s="7"/>
      <c r="N22" s="7"/>
    </row>
    <row r="23" spans="1:14">
      <c r="A23" s="8" t="str">
        <f ca="1">IF(C23="","",IFERROR(VLOOKUP($E23,códigos!$R:$R,1,FALSE),"NO"))</f>
        <v>ISL104</v>
      </c>
      <c r="B23" s="7">
        <f ca="1">IFERROR(__xludf.DUMMYFUNCTION("""COMPUTED_VALUE"""),2)</f>
        <v>2</v>
      </c>
      <c r="C23" s="14" t="str">
        <f ca="1">IFERROR(__xludf.DUMMYFUNCTION("""COMPUTED_VALUE"""),"Ramon Ferrando")</f>
        <v>Ramon Ferrando</v>
      </c>
      <c r="D23" s="7" t="str">
        <f ca="1">IFERROR(__xludf.DUMMYFUNCTION("""COMPUTED_VALUE"""),"El Albir (Benidorm)")</f>
        <v>El Albir (Benidorm)</v>
      </c>
      <c r="E23" s="7" t="str">
        <f ca="1">IFERROR(__xludf.DUMMYFUNCTION("""COMPUTED_VALUE"""),"ISL104")</f>
        <v>ISL104</v>
      </c>
      <c r="F23" s="7" t="str">
        <f ca="1">IFERROR(__xludf.DUMMYFUNCTION("""COMPUTED_VALUE"""),"Isabel Polo Tomás")</f>
        <v>Isabel Polo Tomás</v>
      </c>
      <c r="G23" s="7" t="str">
        <f ca="1">IFERROR(__xludf.DUMMYFUNCTION("""COMPUTED_VALUE"""),"TRASLADO TREN")</f>
        <v>TRASLADO TREN</v>
      </c>
      <c r="H23" s="15" t="str">
        <f ca="1">IFERROR(__xludf.DUMMYFUNCTION("""COMPUTED_VALUE"""),"Traslado")</f>
        <v>Traslado</v>
      </c>
      <c r="I23" s="16">
        <f ca="1">IFERROR(__xludf.DUMMYFUNCTION("""COMPUTED_VALUE"""),46063)</f>
        <v>46063</v>
      </c>
      <c r="J23" s="16">
        <f ca="1">IFERROR(__xludf.DUMMYFUNCTION("""COMPUTED_VALUE"""),46062)</f>
        <v>46062</v>
      </c>
      <c r="K23" s="7">
        <f ca="1">IFERROR(__xludf.DUMMYFUNCTION("""COMPUTED_VALUE"""),-84.52)</f>
        <v>-84.52</v>
      </c>
      <c r="L23" s="7" t="str">
        <f ca="1">IFERROR(__xludf.DUMMYFUNCTION("""COMPUTED_VALUE"""),"AUDICANTE")</f>
        <v>AUDICANTE</v>
      </c>
      <c r="M23" s="7"/>
      <c r="N23" s="7"/>
    </row>
    <row r="24" spans="1:14">
      <c r="A24" s="8" t="str">
        <f ca="1">IF(C24="","",IFERROR(VLOOKUP($E24,códigos!$R:$R,1,FALSE),"NO"))</f>
        <v>NO</v>
      </c>
      <c r="B24" s="7">
        <f ca="1">IFERROR(__xludf.DUMMYFUNCTION("""COMPUTED_VALUE"""),2)</f>
        <v>2</v>
      </c>
      <c r="C24" s="14" t="str">
        <f ca="1">IFERROR(__xludf.DUMMYFUNCTION("""COMPUTED_VALUE"""),"Maika Blázquez")</f>
        <v>Maika Blázquez</v>
      </c>
      <c r="D24" s="7" t="str">
        <f ca="1">IFERROR(__xludf.DUMMYFUNCTION("""COMPUTED_VALUE"""),"Getafe")</f>
        <v>Getafe</v>
      </c>
      <c r="E24" s="7" t="str">
        <f ca="1">IFERROR(__xludf.DUMMYFUNCTION("""COMPUTED_VALUE"""),"MBM26")</f>
        <v>MBM26</v>
      </c>
      <c r="F24" s="7" t="str">
        <f ca="1">IFERROR(__xludf.DUMMYFUNCTION("""COMPUTED_VALUE"""),"Gerardo Monedero Rodrigo")</f>
        <v>Gerardo Monedero Rodrigo</v>
      </c>
      <c r="G24" s="7" t="str">
        <f ca="1">IFERROR(__xludf.DUMMYFUNCTION("""COMPUTED_VALUE"""),"CURSO")</f>
        <v>CURSO</v>
      </c>
      <c r="H24" s="15" t="str">
        <f ca="1">IFERROR(__xludf.DUMMYFUNCTION("""COMPUTED_VALUE"""),"Inscripción")</f>
        <v>Inscripción</v>
      </c>
      <c r="I24" s="17"/>
      <c r="J24" s="16">
        <f ca="1">IFERROR(__xludf.DUMMYFUNCTION("""COMPUTED_VALUE"""),46062)</f>
        <v>46062</v>
      </c>
      <c r="K24" s="7">
        <f ca="1">IFERROR(__xludf.DUMMYFUNCTION("""COMPUTED_VALUE"""),-609.9)</f>
        <v>-609.9</v>
      </c>
      <c r="L24" s="7" t="str">
        <f ca="1">IFERROR(__xludf.DUMMYFUNCTION("""COMPUTED_VALUE"""),"AUDIBRADA")</f>
        <v>AUDIBRADA</v>
      </c>
      <c r="M24" s="7"/>
      <c r="N24" s="7"/>
    </row>
    <row r="25" spans="1:14">
      <c r="A25" s="8" t="str">
        <f ca="1">IF(C25="","",IFERROR(VLOOKUP($E25,códigos!$R:$R,1,FALSE),"NO"))</f>
        <v>NO</v>
      </c>
      <c r="B25" s="7">
        <f ca="1">IFERROR(__xludf.DUMMYFUNCTION("""COMPUTED_VALUE"""),2)</f>
        <v>2</v>
      </c>
      <c r="C25" s="14" t="str">
        <f ca="1">IFERROR(__xludf.DUMMYFUNCTION("""COMPUTED_VALUE"""),"Maika Blázquez")</f>
        <v>Maika Blázquez</v>
      </c>
      <c r="D25" s="7" t="str">
        <f ca="1">IFERROR(__xludf.DUMMYFUNCTION("""COMPUTED_VALUE"""),"Getafe")</f>
        <v>Getafe</v>
      </c>
      <c r="E25" s="7" t="str">
        <f ca="1">IFERROR(__xludf.DUMMYFUNCTION("""COMPUTED_VALUE"""),"MBM96")</f>
        <v>MBM96</v>
      </c>
      <c r="F25" s="7" t="str">
        <f ca="1">IFERROR(__xludf.DUMMYFUNCTION("""COMPUTED_VALUE"""),"Beatriz Santos Duque")</f>
        <v>Beatriz Santos Duque</v>
      </c>
      <c r="G25" s="7" t="str">
        <f ca="1">IFERROR(__xludf.DUMMYFUNCTION("""COMPUTED_VALUE"""),"CURSO")</f>
        <v>CURSO</v>
      </c>
      <c r="H25" s="15" t="str">
        <f ca="1">IFERROR(__xludf.DUMMYFUNCTION("""COMPUTED_VALUE"""),"Inscripción")</f>
        <v>Inscripción</v>
      </c>
      <c r="I25" s="17"/>
      <c r="J25" s="16">
        <f ca="1">IFERROR(__xludf.DUMMYFUNCTION("""COMPUTED_VALUE"""),46062)</f>
        <v>46062</v>
      </c>
      <c r="K25" s="7">
        <f ca="1">IFERROR(__xludf.DUMMYFUNCTION("""COMPUTED_VALUE"""),-609.9)</f>
        <v>-609.9</v>
      </c>
      <c r="L25" s="7" t="str">
        <f ca="1">IFERROR(__xludf.DUMMYFUNCTION("""COMPUTED_VALUE"""),"AUDIBRADA")</f>
        <v>AUDIBRADA</v>
      </c>
      <c r="M25" s="7"/>
      <c r="N25" s="7"/>
    </row>
    <row r="26" spans="1:14">
      <c r="A26" s="8" t="str">
        <f ca="1">IF(C26="","",IFERROR(VLOOKUP($E26,códigos!$R:$R,1,FALSE),"NO"))</f>
        <v>NO</v>
      </c>
      <c r="B26" s="7">
        <f ca="1">IFERROR(__xludf.DUMMYFUNCTION("""COMPUTED_VALUE"""),2)</f>
        <v>2</v>
      </c>
      <c r="C26" s="14" t="str">
        <f ca="1">IFERROR(__xludf.DUMMYFUNCTION("""COMPUTED_VALUE"""),"Luis Alberto Rodríguez")</f>
        <v>Luis Alberto Rodríguez</v>
      </c>
      <c r="D26" s="7" t="str">
        <f ca="1">IFERROR(__xludf.DUMMYFUNCTION("""COMPUTED_VALUE"""),"Sevilla- Montoto")</f>
        <v>Sevilla- Montoto</v>
      </c>
      <c r="E26" s="7" t="str">
        <f ca="1">IFERROR(__xludf.DUMMYFUNCTION("""COMPUTED_VALUE"""),"LAA37")</f>
        <v>LAA37</v>
      </c>
      <c r="F26" s="7" t="str">
        <f ca="1">IFERROR(__xludf.DUMMYFUNCTION("""COMPUTED_VALUE"""),"Miguel Rodriguez Pérez")</f>
        <v>Miguel Rodriguez Pérez</v>
      </c>
      <c r="G26" s="7" t="str">
        <f ca="1">IFERROR(__xludf.DUMMYFUNCTION("""COMPUTED_VALUE"""),"ESTANCIA HOTEL")</f>
        <v>ESTANCIA HOTEL</v>
      </c>
      <c r="H26" s="15" t="str">
        <f ca="1">IFERROR(__xludf.DUMMYFUNCTION("""COMPUTED_VALUE"""),"Alojamiento")</f>
        <v>Alojamiento</v>
      </c>
      <c r="I26" s="16"/>
      <c r="J26" s="16">
        <f ca="1">IFERROR(__xludf.DUMMYFUNCTION("""COMPUTED_VALUE"""),46062)</f>
        <v>46062</v>
      </c>
      <c r="K26" s="7">
        <f ca="1">IFERROR(__xludf.DUMMYFUNCTION("""COMPUTED_VALUE"""),-980.85)</f>
        <v>-980.85</v>
      </c>
      <c r="L26" s="7" t="str">
        <f ca="1">IFERROR(__xludf.DUMMYFUNCTION("""COMPUTED_VALUE"""),"OIR VITAL CENTROS AUDITIVOS ")</f>
        <v>OIR VITAL CENTROS AUDITIVOS </v>
      </c>
      <c r="M26" s="7"/>
      <c r="N26" s="7"/>
    </row>
    <row r="27" spans="1:14">
      <c r="A27" s="8" t="str">
        <f ca="1">IF(C27="","",IFERROR(VLOOKUP($E27,códigos!$R:$R,1,FALSE),"NO"))</f>
        <v>ISL104</v>
      </c>
      <c r="B27" s="7">
        <f ca="1">IFERROR(__xludf.DUMMYFUNCTION("""COMPUTED_VALUE"""),2)</f>
        <v>2</v>
      </c>
      <c r="C27" s="14" t="str">
        <f ca="1">IFERROR(__xludf.DUMMYFUNCTION("""COMPUTED_VALUE"""),"Ramon Ferrando")</f>
        <v>Ramon Ferrando</v>
      </c>
      <c r="D27" s="7" t="str">
        <f ca="1">IFERROR(__xludf.DUMMYFUNCTION("""COMPUTED_VALUE"""),"El Albir (Benidorm)")</f>
        <v>El Albir (Benidorm)</v>
      </c>
      <c r="E27" s="7" t="str">
        <f ca="1">IFERROR(__xludf.DUMMYFUNCTION("""COMPUTED_VALUE"""),"ISL104")</f>
        <v>ISL104</v>
      </c>
      <c r="F27" s="7" t="str">
        <f ca="1">IFERROR(__xludf.DUMMYFUNCTION("""COMPUTED_VALUE"""),"Isabel Polo Tomás")</f>
        <v>Isabel Polo Tomás</v>
      </c>
      <c r="G27" s="7" t="str">
        <f ca="1">IFERROR(__xludf.DUMMYFUNCTION("""COMPUTED_VALUE"""),"TRASLADO   ")</f>
        <v xml:space="preserve">TRASLADO   </v>
      </c>
      <c r="H27" s="15" t="str">
        <f ca="1">IFERROR(__xludf.DUMMYFUNCTION("""COMPUTED_VALUE"""),"Traslado")</f>
        <v>Traslado</v>
      </c>
      <c r="I27" s="17"/>
      <c r="J27" s="16">
        <f ca="1">IFERROR(__xludf.DUMMYFUNCTION("""COMPUTED_VALUE"""),46035)</f>
        <v>46035</v>
      </c>
      <c r="K27" s="7">
        <f ca="1">IFERROR(__xludf.DUMMYFUNCTION("""COMPUTED_VALUE"""),-68.75)</f>
        <v>-68.75</v>
      </c>
      <c r="L27" s="7" t="str">
        <f ca="1">IFERROR(__xludf.DUMMYFUNCTION("""COMPUTED_VALUE"""),"AUDICANTE")</f>
        <v>AUDICANTE</v>
      </c>
      <c r="M27" s="7"/>
      <c r="N27" s="7"/>
    </row>
    <row r="28" spans="1:14">
      <c r="A28" s="8" t="str">
        <f ca="1">IF(C28="","",IFERROR(VLOOKUP($E28,códigos!$R:$R,1,FALSE),"NO"))</f>
        <v>ISL104</v>
      </c>
      <c r="B28" s="7">
        <f ca="1">IFERROR(__xludf.DUMMYFUNCTION("""COMPUTED_VALUE"""),2)</f>
        <v>2</v>
      </c>
      <c r="C28" s="14" t="str">
        <f ca="1">IFERROR(__xludf.DUMMYFUNCTION("""COMPUTED_VALUE"""),"Ramon Ferrando")</f>
        <v>Ramon Ferrando</v>
      </c>
      <c r="D28" s="7" t="str">
        <f ca="1">IFERROR(__xludf.DUMMYFUNCTION("""COMPUTED_VALUE"""),"El Albir (Benidorm)")</f>
        <v>El Albir (Benidorm)</v>
      </c>
      <c r="E28" s="7" t="str">
        <f ca="1">IFERROR(__xludf.DUMMYFUNCTION("""COMPUTED_VALUE"""),"ISL104")</f>
        <v>ISL104</v>
      </c>
      <c r="F28" s="7" t="str">
        <f ca="1">IFERROR(__xludf.DUMMYFUNCTION("""COMPUTED_VALUE"""),"Isabel Polo Tomás")</f>
        <v>Isabel Polo Tomás</v>
      </c>
      <c r="G28" s="7" t="str">
        <f ca="1">IFERROR(__xludf.DUMMYFUNCTION("""COMPUTED_VALUE"""),"TRASLADO   ")</f>
        <v xml:space="preserve">TRASLADO   </v>
      </c>
      <c r="H28" s="15" t="str">
        <f ca="1">IFERROR(__xludf.DUMMYFUNCTION("""COMPUTED_VALUE"""),"Traslado")</f>
        <v>Traslado</v>
      </c>
      <c r="I28" s="17"/>
      <c r="J28" s="16">
        <f ca="1">IFERROR(__xludf.DUMMYFUNCTION("""COMPUTED_VALUE"""),46035)</f>
        <v>46035</v>
      </c>
      <c r="K28" s="7">
        <f ca="1">IFERROR(__xludf.DUMMYFUNCTION("""COMPUTED_VALUE"""),-630.47)</f>
        <v>-630.47</v>
      </c>
      <c r="L28" s="7" t="str">
        <f ca="1">IFERROR(__xludf.DUMMYFUNCTION("""COMPUTED_VALUE"""),"AUDICANTE")</f>
        <v>AUDICANTE</v>
      </c>
      <c r="M28" s="7"/>
      <c r="N28" s="7"/>
    </row>
    <row r="29" spans="1:14">
      <c r="A29" s="8" t="str">
        <f ca="1">IF(C29="","",IFERROR(VLOOKUP($E29,códigos!$R:$R,1,FALSE),"NO"))</f>
        <v>NO</v>
      </c>
      <c r="B29" s="7">
        <f ca="1">IFERROR(__xludf.DUMMYFUNCTION("""COMPUTED_VALUE"""),2)</f>
        <v>2</v>
      </c>
      <c r="C29" s="14" t="str">
        <f ca="1">IFERROR(__xludf.DUMMYFUNCTION("""COMPUTED_VALUE"""),"Maika Blázquez")</f>
        <v>Maika Blázquez</v>
      </c>
      <c r="D29" s="7" t="str">
        <f ca="1">IFERROR(__xludf.DUMMYFUNCTION("""COMPUTED_VALUE"""),"Madrid- La Oca")</f>
        <v>Madrid- La Oca</v>
      </c>
      <c r="E29" s="7" t="str">
        <f ca="1">IFERROR(__xludf.DUMMYFUNCTION("""COMPUTED_VALUE"""),"MBM69")</f>
        <v>MBM69</v>
      </c>
      <c r="F29" s="7" t="str">
        <f ca="1">IFERROR(__xludf.DUMMYFUNCTION("""COMPUTED_VALUE"""),"Oscar A, Sánchez Valenzuela")</f>
        <v>Oscar A, Sánchez Valenzuela</v>
      </c>
      <c r="G29" s="7" t="str">
        <f ca="1">IFERROR(__xludf.DUMMYFUNCTION("""COMPUTED_VALUE"""),"MACBOOK PRO")</f>
        <v>MACBOOK PRO</v>
      </c>
      <c r="H29" s="15" t="str">
        <f ca="1">IFERROR(__xludf.DUMMYFUNCTION("""COMPUTED_VALUE"""),"Material para centro")</f>
        <v>Material para centro</v>
      </c>
      <c r="I29" s="16"/>
      <c r="J29" s="16">
        <f ca="1">IFERROR(__xludf.DUMMYFUNCTION("""COMPUTED_VALUE"""),46065)</f>
        <v>46065</v>
      </c>
      <c r="K29" s="7">
        <f ca="1">IFERROR(__xludf.DUMMYFUNCTION("""COMPUTED_VALUE"""),-3353.99)</f>
        <v>-3353.99</v>
      </c>
      <c r="L29" s="7" t="str">
        <f ca="1">IFERROR(__xludf.DUMMYFUNCTION("""COMPUTED_VALUE"""),"SIEMA BLINK, S.L")</f>
        <v>SIEMA BLINK, S.L</v>
      </c>
      <c r="M29" s="7"/>
      <c r="N29" s="7"/>
    </row>
    <row r="30" spans="1:14">
      <c r="A30" s="8" t="str">
        <f ca="1">IF(C30="","",IFERROR(VLOOKUP($E30,códigos!$R:$R,1,FALSE),"NO"))</f>
        <v>NO</v>
      </c>
      <c r="B30" s="7">
        <f ca="1">IFERROR(__xludf.DUMMYFUNCTION("""COMPUTED_VALUE"""),2)</f>
        <v>2</v>
      </c>
      <c r="C30" s="14" t="str">
        <f ca="1">IFERROR(__xludf.DUMMYFUNCTION("""COMPUTED_VALUE"""),"Maika Blázquez")</f>
        <v>Maika Blázquez</v>
      </c>
      <c r="D30" s="7" t="str">
        <f ca="1">IFERROR(__xludf.DUMMYFUNCTION("""COMPUTED_VALUE"""),"Madrid- Canillas")</f>
        <v>Madrid- Canillas</v>
      </c>
      <c r="E30" s="7" t="str">
        <f ca="1">IFERROR(__xludf.DUMMYFUNCTION("""COMPUTED_VALUE"""),"MBM50")</f>
        <v>MBM50</v>
      </c>
      <c r="F30" s="7" t="str">
        <f ca="1">IFERROR(__xludf.DUMMYFUNCTION("""COMPUTED_VALUE"""),"José Gustavo Barroso Braojos")</f>
        <v>José Gustavo Barroso Braojos</v>
      </c>
      <c r="G30" s="7" t="str">
        <f ca="1">IFERROR(__xludf.DUMMYFUNCTION("""COMPUTED_VALUE"""),"PATROCINIO-VIAJE ISLANDIA")</f>
        <v>PATROCINIO-VIAJE ISLANDIA</v>
      </c>
      <c r="H30" s="15" t="str">
        <f ca="1">IFERROR(__xludf.DUMMYFUNCTION("""COMPUTED_VALUE"""),"Publicidad")</f>
        <v>Publicidad</v>
      </c>
      <c r="I30" s="16">
        <f ca="1">IFERROR(__xludf.DUMMYFUNCTION("""COMPUTED_VALUE"""),46065)</f>
        <v>46065</v>
      </c>
      <c r="J30" s="16">
        <f ca="1">IFERROR(__xludf.DUMMYFUNCTION("""COMPUTED_VALUE"""),46065)</f>
        <v>46065</v>
      </c>
      <c r="K30" s="7">
        <f ca="1">IFERROR(__xludf.DUMMYFUNCTION("""COMPUTED_VALUE"""),5025)</f>
        <v>5025</v>
      </c>
      <c r="L30" s="7" t="str">
        <f ca="1">IFERROR(__xludf.DUMMYFUNCTION("""COMPUTED_VALUE"""),"AUDICOST, S.L.U")</f>
        <v>AUDICOST, S.L.U</v>
      </c>
      <c r="M30" s="7"/>
      <c r="N30" s="7"/>
    </row>
    <row r="31" spans="1:14">
      <c r="A31" s="8" t="str">
        <f ca="1">IF(C31="","",IFERROR(VLOOKUP($E31,códigos!$R:$R,1,FALSE),"NO"))</f>
        <v>NO</v>
      </c>
      <c r="B31" s="7">
        <f ca="1">IFERROR(__xludf.DUMMYFUNCTION("""COMPUTED_VALUE"""),2)</f>
        <v>2</v>
      </c>
      <c r="C31" s="14" t="str">
        <f ca="1">IFERROR(__xludf.DUMMYFUNCTION("""COMPUTED_VALUE"""),"Maika Blázquez")</f>
        <v>Maika Blázquez</v>
      </c>
      <c r="D31" s="7" t="str">
        <f ca="1">IFERROR(__xludf.DUMMYFUNCTION("""COMPUTED_VALUE"""),"Fuenlabrada")</f>
        <v>Fuenlabrada</v>
      </c>
      <c r="E31" s="7" t="str">
        <f ca="1">IFERROR(__xludf.DUMMYFUNCTION("""COMPUTED_VALUE"""),"MBM228")</f>
        <v>MBM228</v>
      </c>
      <c r="F31" s="7" t="str">
        <f ca="1">IFERROR(__xludf.DUMMYFUNCTION("""COMPUTED_VALUE"""),"Daniel Rodríguez Ocaña")</f>
        <v>Daniel Rodríguez Ocaña</v>
      </c>
      <c r="G31" s="7" t="str">
        <f ca="1">IFERROR(__xludf.DUMMYFUNCTION("""COMPUTED_VALUE"""),"CURSO")</f>
        <v>CURSO</v>
      </c>
      <c r="H31" s="15" t="str">
        <f ca="1">IFERROR(__xludf.DUMMYFUNCTION("""COMPUTED_VALUE"""),"Inscripción")</f>
        <v>Inscripción</v>
      </c>
      <c r="I31" s="16"/>
      <c r="J31" s="16">
        <f ca="1">IFERROR(__xludf.DUMMYFUNCTION("""COMPUTED_VALUE"""),46066)</f>
        <v>46066</v>
      </c>
      <c r="K31" s="7">
        <f ca="1">IFERROR(__xludf.DUMMYFUNCTION("""COMPUTED_VALUE"""),-1000)</f>
        <v>-1000</v>
      </c>
      <c r="L31" s="7" t="str">
        <f ca="1">IFERROR(__xludf.DUMMYFUNCTION("""COMPUTED_VALUE"""),"AUDIBRADA")</f>
        <v>AUDIBRADA</v>
      </c>
      <c r="M31" s="7"/>
      <c r="N31" s="7"/>
    </row>
    <row r="32" spans="1:14">
      <c r="A32" s="8" t="str">
        <f ca="1">IF(C32="","",IFERROR(VLOOKUP($E32,códigos!$R:$R,1,FALSE),"NO"))</f>
        <v>NO</v>
      </c>
      <c r="B32" s="7">
        <f ca="1">IFERROR(__xludf.DUMMYFUNCTION("""COMPUTED_VALUE"""),2)</f>
        <v>2</v>
      </c>
      <c r="C32" s="14" t="str">
        <f ca="1">IFERROR(__xludf.DUMMYFUNCTION("""COMPUTED_VALUE"""),"Maika Blázquez")</f>
        <v>Maika Blázquez</v>
      </c>
      <c r="D32" s="7" t="str">
        <f ca="1">IFERROR(__xludf.DUMMYFUNCTION("""COMPUTED_VALUE"""),"Madrid- Juan Bravo")</f>
        <v>Madrid- Juan Bravo</v>
      </c>
      <c r="E32" s="7" t="str">
        <f ca="1">IFERROR(__xludf.DUMMYFUNCTION("""COMPUTED_VALUE"""),"MBM229")</f>
        <v>MBM229</v>
      </c>
      <c r="F32" s="7" t="str">
        <f ca="1">IFERROR(__xludf.DUMMYFUNCTION("""COMPUTED_VALUE"""),"Raquel de Lama Bermejo")</f>
        <v>Raquel de Lama Bermejo</v>
      </c>
      <c r="G32" s="7" t="str">
        <f ca="1">IFERROR(__xludf.DUMMYFUNCTION("""COMPUTED_VALUE"""),"CURSO")</f>
        <v>CURSO</v>
      </c>
      <c r="H32" s="15" t="str">
        <f ca="1">IFERROR(__xludf.DUMMYFUNCTION("""COMPUTED_VALUE"""),"Inscripción")</f>
        <v>Inscripción</v>
      </c>
      <c r="I32" s="16"/>
      <c r="J32" s="16">
        <f ca="1">IFERROR(__xludf.DUMMYFUNCTION("""COMPUTED_VALUE"""),46071)</f>
        <v>46071</v>
      </c>
      <c r="K32" s="7">
        <f ca="1">IFERROR(__xludf.DUMMYFUNCTION("""COMPUTED_VALUE"""),-900)</f>
        <v>-900</v>
      </c>
      <c r="L32" s="7" t="str">
        <f ca="1">IFERROR(__xludf.DUMMYFUNCTION("""COMPUTED_VALUE"""),"AUDICOST, S.L.U")</f>
        <v>AUDICOST, S.L.U</v>
      </c>
      <c r="M32" s="7"/>
      <c r="N32" s="7"/>
    </row>
    <row r="33" spans="1:14">
      <c r="A33" s="8" t="str">
        <f ca="1">IF(C33="","",IFERROR(VLOOKUP($E33,códigos!$R:$R,1,FALSE),"NO"))</f>
        <v>ISL104</v>
      </c>
      <c r="B33" s="7">
        <f ca="1">IFERROR(__xludf.DUMMYFUNCTION("""COMPUTED_VALUE"""),2)</f>
        <v>2</v>
      </c>
      <c r="C33" s="14" t="str">
        <f ca="1">IFERROR(__xludf.DUMMYFUNCTION("""COMPUTED_VALUE"""),"Ramon Ferrando")</f>
        <v>Ramon Ferrando</v>
      </c>
      <c r="D33" s="7" t="str">
        <f ca="1">IFERROR(__xludf.DUMMYFUNCTION("""COMPUTED_VALUE"""),"El Albir (Benidorm)")</f>
        <v>El Albir (Benidorm)</v>
      </c>
      <c r="E33" s="7" t="str">
        <f ca="1">IFERROR(__xludf.DUMMYFUNCTION("""COMPUTED_VALUE"""),"ISL104")</f>
        <v>ISL104</v>
      </c>
      <c r="F33" s="7" t="str">
        <f ca="1">IFERROR(__xludf.DUMMYFUNCTION("""COMPUTED_VALUE"""),"Isabel Polo Tomás")</f>
        <v>Isabel Polo Tomás</v>
      </c>
      <c r="G33" s="7" t="str">
        <f ca="1">IFERROR(__xludf.DUMMYFUNCTION("""COMPUTED_VALUE"""),"VIAJE A JAPON")</f>
        <v>VIAJE A JAPON</v>
      </c>
      <c r="H33" s="15" t="str">
        <f ca="1">IFERROR(__xludf.DUMMYFUNCTION("""COMPUTED_VALUE"""),"Congreso internacional personal")</f>
        <v>Congreso internacional personal</v>
      </c>
      <c r="I33" s="16">
        <f ca="1">IFERROR(__xludf.DUMMYFUNCTION("""COMPUTED_VALUE"""),46078)</f>
        <v>46078</v>
      </c>
      <c r="J33" s="16">
        <f ca="1">IFERROR(__xludf.DUMMYFUNCTION("""COMPUTED_VALUE"""),46073)</f>
        <v>46073</v>
      </c>
      <c r="K33" s="7">
        <f ca="1">IFERROR(__xludf.DUMMYFUNCTION("""COMPUTED_VALUE"""),-4957.1)</f>
        <v>-4957.1000000000004</v>
      </c>
      <c r="L33" s="7" t="str">
        <f ca="1">IFERROR(__xludf.DUMMYFUNCTION("""COMPUTED_VALUE"""),"AUDICANTE")</f>
        <v>AUDICANTE</v>
      </c>
      <c r="M33" s="7"/>
      <c r="N33" s="7"/>
    </row>
    <row r="34" spans="1:14">
      <c r="A34" s="8" t="str">
        <f ca="1">IF(C34="","",IFERROR(VLOOKUP($E34,códigos!$R:$R,1,FALSE),"NO"))</f>
        <v>NO</v>
      </c>
      <c r="B34" s="7">
        <f ca="1">IFERROR(__xludf.DUMMYFUNCTION("""COMPUTED_VALUE"""),2)</f>
        <v>2</v>
      </c>
      <c r="C34" s="14" t="str">
        <f ca="1">IFERROR(__xludf.DUMMYFUNCTION("""COMPUTED_VALUE"""),"Maika Blázquez")</f>
        <v>Maika Blázquez</v>
      </c>
      <c r="D34" s="7" t="str">
        <f ca="1">IFERROR(__xludf.DUMMYFUNCTION("""COMPUTED_VALUE"""),"Getafe")</f>
        <v>Getafe</v>
      </c>
      <c r="E34" s="7" t="str">
        <f ca="1">IFERROR(__xludf.DUMMYFUNCTION("""COMPUTED_VALUE"""),"MBM230")</f>
        <v>MBM230</v>
      </c>
      <c r="F34" s="7" t="str">
        <f ca="1">IFERROR(__xludf.DUMMYFUNCTION("""COMPUTED_VALUE"""),"Daniela Carrillo Moreno")</f>
        <v>Daniela Carrillo Moreno</v>
      </c>
      <c r="G34" s="7" t="str">
        <f ca="1">IFERROR(__xludf.DUMMYFUNCTION("""COMPUTED_VALUE"""),"CURSO")</f>
        <v>CURSO</v>
      </c>
      <c r="H34" s="15" t="str">
        <f ca="1">IFERROR(__xludf.DUMMYFUNCTION("""COMPUTED_VALUE"""),"Inscripción")</f>
        <v>Inscripción</v>
      </c>
      <c r="I34" s="16"/>
      <c r="J34" s="16">
        <f ca="1">IFERROR(__xludf.DUMMYFUNCTION("""COMPUTED_VALUE"""),46078)</f>
        <v>46078</v>
      </c>
      <c r="K34" s="7">
        <f ca="1">IFERROR(__xludf.DUMMYFUNCTION("""COMPUTED_VALUE"""),-600)</f>
        <v>-600</v>
      </c>
      <c r="L34" s="7" t="str">
        <f ca="1">IFERROR(__xludf.DUMMYFUNCTION("""COMPUTED_VALUE"""),"AUDIBRADA")</f>
        <v>AUDIBRADA</v>
      </c>
      <c r="M34" s="7"/>
      <c r="N34" s="7"/>
    </row>
    <row r="35" spans="1:14">
      <c r="A35" s="8" t="str">
        <f ca="1">IF(C35="","",IFERROR(VLOOKUP($E35,códigos!$R:$R,1,FALSE),"NO"))</f>
        <v>ISL14</v>
      </c>
      <c r="B35" s="7">
        <f ca="1">IFERROR(__xludf.DUMMYFUNCTION("""COMPUTED_VALUE"""),2)</f>
        <v>2</v>
      </c>
      <c r="C35" s="14" t="str">
        <f ca="1">IFERROR(__xludf.DUMMYFUNCTION("""COMPUTED_VALUE"""),"Iván Sánchez")</f>
        <v>Iván Sánchez</v>
      </c>
      <c r="D35" s="7" t="str">
        <f ca="1">IFERROR(__xludf.DUMMYFUNCTION("""COMPUTED_VALUE"""),"Orihuela")</f>
        <v>Orihuela</v>
      </c>
      <c r="E35" s="7" t="str">
        <f ca="1">IFERROR(__xludf.DUMMYFUNCTION("""COMPUTED_VALUE"""),"ISL14")</f>
        <v>ISL14</v>
      </c>
      <c r="F35" s="7" t="str">
        <f ca="1">IFERROR(__xludf.DUMMYFUNCTION("""COMPUTED_VALUE"""),"Carlos Velásquez Fermín")</f>
        <v>Carlos Velásquez Fermín</v>
      </c>
      <c r="G35" s="7" t="str">
        <f ca="1">IFERROR(__xludf.DUMMYFUNCTION("""COMPUTED_VALUE"""),"CERRAMIENTO")</f>
        <v>CERRAMIENTO</v>
      </c>
      <c r="H35" s="15" t="str">
        <f ca="1">IFERROR(__xludf.DUMMYFUNCTION("""COMPUTED_VALUE"""),"Obras acondicionamiento centro")</f>
        <v>Obras acondicionamiento centro</v>
      </c>
      <c r="I35" s="16">
        <f ca="1">IFERROR(__xludf.DUMMYFUNCTION("""COMPUTED_VALUE"""),46063)</f>
        <v>46063</v>
      </c>
      <c r="J35" s="7"/>
      <c r="K35" s="7">
        <f ca="1">IFERROR(__xludf.DUMMYFUNCTION("""COMPUTED_VALUE"""),-2085.24)</f>
        <v>-2085.2399999999998</v>
      </c>
      <c r="L35" s="7" t="str">
        <f ca="1">IFERROR(__xludf.DUMMYFUNCTION("""COMPUTED_VALUE"""),"AUDICOST, S.L.U")</f>
        <v>AUDICOST, S.L.U</v>
      </c>
      <c r="M35" s="7"/>
      <c r="N35" s="7"/>
    </row>
    <row r="36" spans="1:14">
      <c r="A36" s="8" t="str">
        <f ca="1">IF(C36="","",IFERROR(VLOOKUP($E36,códigos!$R:$R,1,FALSE),"NO"))</f>
        <v>NO</v>
      </c>
      <c r="B36" s="7">
        <f ca="1">IFERROR(__xludf.DUMMYFUNCTION("""COMPUTED_VALUE"""),2)</f>
        <v>2</v>
      </c>
      <c r="C36" s="14" t="str">
        <f ca="1">IFERROR(__xludf.DUMMYFUNCTION("""COMPUTED_VALUE"""),"Iván Sánchez")</f>
        <v>Iván Sánchez</v>
      </c>
      <c r="D36" s="7" t="str">
        <f ca="1">IFERROR(__xludf.DUMMYFUNCTION("""COMPUTED_VALUE"""),"Murcia")</f>
        <v>Murcia</v>
      </c>
      <c r="E36" s="7" t="str">
        <f ca="1">IFERROR(__xludf.DUMMYFUNCTION("""COMPUTED_VALUE"""),"ISL24")</f>
        <v>ISL24</v>
      </c>
      <c r="F36" s="7" t="str">
        <f ca="1">IFERROR(__xludf.DUMMYFUNCTION("""COMPUTED_VALUE"""),"Enrique López Meseguer")</f>
        <v>Enrique López Meseguer</v>
      </c>
      <c r="G36" s="7" t="str">
        <f ca="1">IFERROR(__xludf.DUMMYFUNCTION("""COMPUTED_VALUE"""),"VIAJE A JORDANIA")</f>
        <v>VIAJE A JORDANIA</v>
      </c>
      <c r="H36" s="15" t="str">
        <f ca="1">IFERROR(__xludf.DUMMYFUNCTION("""COMPUTED_VALUE"""),"Congreso internacional personal")</f>
        <v>Congreso internacional personal</v>
      </c>
      <c r="I36" s="16">
        <f ca="1">IFERROR(__xludf.DUMMYFUNCTION("""COMPUTED_VALUE"""),46056)</f>
        <v>46056</v>
      </c>
      <c r="J36" s="7"/>
      <c r="K36" s="7">
        <f ca="1">IFERROR(__xludf.DUMMYFUNCTION("""COMPUTED_VALUE"""),-3098)</f>
        <v>-3098</v>
      </c>
      <c r="L36" s="7" t="str">
        <f ca="1">IFERROR(__xludf.DUMMYFUNCTION("""COMPUTED_VALUE"""),"AUDICANTE")</f>
        <v>AUDICANTE</v>
      </c>
      <c r="M36" s="7"/>
      <c r="N36" s="7"/>
    </row>
    <row r="37" spans="1:14">
      <c r="A37" s="8" t="str">
        <f ca="1">IF(C37="","",IFERROR(VLOOKUP($E37,códigos!$R:$R,1,FALSE),"NO"))</f>
        <v>ISL104</v>
      </c>
      <c r="B37" s="7">
        <f ca="1">IFERROR(__xludf.DUMMYFUNCTION("""COMPUTED_VALUE"""),3)</f>
        <v>3</v>
      </c>
      <c r="C37" s="14" t="str">
        <f ca="1">IFERROR(__xludf.DUMMYFUNCTION("""COMPUTED_VALUE"""),"Ramon Ferrando")</f>
        <v>Ramon Ferrando</v>
      </c>
      <c r="D37" s="7" t="str">
        <f ca="1">IFERROR(__xludf.DUMMYFUNCTION("""COMPUTED_VALUE"""),"El Albir (Benidorm)")</f>
        <v>El Albir (Benidorm)</v>
      </c>
      <c r="E37" s="7" t="str">
        <f ca="1">IFERROR(__xludf.DUMMYFUNCTION("""COMPUTED_VALUE"""),"ISL104")</f>
        <v>ISL104</v>
      </c>
      <c r="F37" s="7" t="str">
        <f ca="1">IFERROR(__xludf.DUMMYFUNCTION("""COMPUTED_VALUE"""),"Isabel Polo Tomás")</f>
        <v>Isabel Polo Tomás</v>
      </c>
      <c r="G37" s="7" t="str">
        <f ca="1">IFERROR(__xludf.DUMMYFUNCTION("""COMPUTED_VALUE"""),"HOTEL EN MADRID")</f>
        <v>HOTEL EN MADRID</v>
      </c>
      <c r="H37" s="15" t="str">
        <f ca="1">IFERROR(__xludf.DUMMYFUNCTION("""COMPUTED_VALUE"""),"Alojamiento")</f>
        <v>Alojamiento</v>
      </c>
      <c r="I37" s="16">
        <f ca="1">IFERROR(__xludf.DUMMYFUNCTION("""COMPUTED_VALUE"""),46085)</f>
        <v>46085</v>
      </c>
      <c r="J37" s="16">
        <f ca="1">IFERROR(__xludf.DUMMYFUNCTION("""COMPUTED_VALUE"""),46084)</f>
        <v>46084</v>
      </c>
      <c r="K37" s="7">
        <f ca="1">IFERROR(__xludf.DUMMYFUNCTION("""COMPUTED_VALUE"""),-285.73)</f>
        <v>-285.73</v>
      </c>
      <c r="L37" s="7" t="str">
        <f ca="1">IFERROR(__xludf.DUMMYFUNCTION("""COMPUTED_VALUE"""),"AUDICANTE")</f>
        <v>AUDICANTE</v>
      </c>
      <c r="M37" s="7"/>
      <c r="N37" s="7"/>
    </row>
    <row r="38" spans="1:14">
      <c r="A38" s="8" t="str">
        <f ca="1">IF(C38="","",IFERROR(VLOOKUP($E38,códigos!$R:$R,1,FALSE),"NO"))</f>
        <v>NO</v>
      </c>
      <c r="B38" s="7">
        <f ca="1">IFERROR(__xludf.DUMMYFUNCTION("""COMPUTED_VALUE"""),3)</f>
        <v>3</v>
      </c>
      <c r="C38" s="14" t="str">
        <f ca="1">IFERROR(__xludf.DUMMYFUNCTION("""COMPUTED_VALUE"""),"Iván Sánchez")</f>
        <v>Iván Sánchez</v>
      </c>
      <c r="D38" s="7" t="str">
        <f ca="1">IFERROR(__xludf.DUMMYFUNCTION("""COMPUTED_VALUE"""),"San Javier")</f>
        <v>San Javier</v>
      </c>
      <c r="E38" s="7" t="str">
        <f ca="1">IFERROR(__xludf.DUMMYFUNCTION("""COMPUTED_VALUE"""),"ISL149")</f>
        <v>ISL149</v>
      </c>
      <c r="F38" s="7" t="str">
        <f ca="1">IFERROR(__xludf.DUMMYFUNCTION("""COMPUTED_VALUE"""),"Ángel Onofre Pérez Coll")</f>
        <v>Ángel Onofre Pérez Coll</v>
      </c>
      <c r="G38" s="7" t="str">
        <f ca="1">IFERROR(__xludf.DUMMYFUNCTION("""COMPUTED_VALUE"""),"INSCRIPCION CURSO RINOPLASTIA")</f>
        <v>INSCRIPCION CURSO RINOPLASTIA</v>
      </c>
      <c r="H38" s="15" t="str">
        <f ca="1">IFERROR(__xludf.DUMMYFUNCTION("""COMPUTED_VALUE"""),"Inscripción")</f>
        <v>Inscripción</v>
      </c>
      <c r="I38" s="16"/>
      <c r="J38" s="16">
        <f ca="1">IFERROR(__xludf.DUMMYFUNCTION("""COMPUTED_VALUE"""),46086)</f>
        <v>46086</v>
      </c>
      <c r="K38" s="7">
        <f ca="1">IFERROR(__xludf.DUMMYFUNCTION("""COMPUTED_VALUE"""),2176.19)</f>
        <v>2176.19</v>
      </c>
      <c r="L38" s="7" t="str">
        <f ca="1">IFERROR(__xludf.DUMMYFUNCTION("""COMPUTED_VALUE"""),"AUDICOST, S.L.U")</f>
        <v>AUDICOST, S.L.U</v>
      </c>
      <c r="M38" s="7"/>
      <c r="N38" s="7"/>
    </row>
    <row r="39" spans="1:14">
      <c r="A39" s="8" t="str">
        <f ca="1">IF(C39="","",IFERROR(VLOOKUP($E39,códigos!$R:$R,1,FALSE),"NO"))</f>
        <v>NO</v>
      </c>
      <c r="B39" s="7">
        <f ca="1">IFERROR(__xludf.DUMMYFUNCTION("""COMPUTED_VALUE"""),3)</f>
        <v>3</v>
      </c>
      <c r="C39" s="14" t="str">
        <f ca="1">IFERROR(__xludf.DUMMYFUNCTION("""COMPUTED_VALUE"""),"Lisandro Russian")</f>
        <v>Lisandro Russian</v>
      </c>
      <c r="D39" s="7" t="str">
        <f ca="1">IFERROR(__xludf.DUMMYFUNCTION("""COMPUTED_VALUE"""),"Logroño")</f>
        <v>Logroño</v>
      </c>
      <c r="E39" s="7" t="str">
        <f ca="1">IFERROR(__xludf.DUMMYFUNCTION("""COMPUTED_VALUE"""),"LRM249")</f>
        <v>LRM249</v>
      </c>
      <c r="F39" s="7" t="str">
        <f ca="1">IFERROR(__xludf.DUMMYFUNCTION("""COMPUTED_VALUE"""),"Daniel Briones Crespo")</f>
        <v>Daniel Briones Crespo</v>
      </c>
      <c r="G39" s="7" t="str">
        <f ca="1">IFERROR(__xludf.DUMMYFUNCTION("""COMPUTED_VALUE"""),"VIAJE CONGRESO ATENAS")</f>
        <v>VIAJE CONGRESO ATENAS</v>
      </c>
      <c r="H39" s="15" t="str">
        <f ca="1">IFERROR(__xludf.DUMMYFUNCTION("""COMPUTED_VALUE"""),"Alojamiento y traslado")</f>
        <v>Alojamiento y traslado</v>
      </c>
      <c r="I39" s="16">
        <f ca="1">IFERROR(__xludf.DUMMYFUNCTION("""COMPUTED_VALUE"""),46094)</f>
        <v>46094</v>
      </c>
      <c r="J39" s="16">
        <f ca="1">IFERROR(__xludf.DUMMYFUNCTION("""COMPUTED_VALUE"""),46093)</f>
        <v>46093</v>
      </c>
      <c r="K39" s="7">
        <f ca="1">IFERROR(__xludf.DUMMYFUNCTION("""COMPUTED_VALUE"""),-4215.86)</f>
        <v>-4215.8599999999997</v>
      </c>
      <c r="L39" s="7" t="str">
        <f ca="1">IFERROR(__xludf.DUMMYFUNCTION("""COMPUTED_VALUE"""),"AUDICOST LOGROÑO ")</f>
        <v>AUDICOST LOGROÑO </v>
      </c>
      <c r="M39" s="7"/>
      <c r="N39" s="7"/>
    </row>
    <row r="40" spans="1:14">
      <c r="A40" s="8" t="str">
        <f ca="1">IF(C40="","",IFERROR(VLOOKUP($E40,códigos!$R:$R,1,FALSE),"NO"))</f>
        <v>NO</v>
      </c>
      <c r="B40" s="7">
        <f ca="1">IFERROR(__xludf.DUMMYFUNCTION("""COMPUTED_VALUE"""),3)</f>
        <v>3</v>
      </c>
      <c r="C40" s="14" t="str">
        <f ca="1">IFERROR(__xludf.DUMMYFUNCTION("""COMPUTED_VALUE"""),"Maika Blázquez")</f>
        <v>Maika Blázquez</v>
      </c>
      <c r="D40" s="7" t="str">
        <f ca="1">IFERROR(__xludf.DUMMYFUNCTION("""COMPUTED_VALUE"""),"Madrid- Canillas")</f>
        <v>Madrid- Canillas</v>
      </c>
      <c r="E40" s="7" t="str">
        <f ca="1">IFERROR(__xludf.DUMMYFUNCTION("""COMPUTED_VALUE"""),"MBM50")</f>
        <v>MBM50</v>
      </c>
      <c r="F40" s="7" t="str">
        <f ca="1">IFERROR(__xludf.DUMMYFUNCTION("""COMPUTED_VALUE"""),"José Gustavo Barroso Braojos")</f>
        <v>José Gustavo Barroso Braojos</v>
      </c>
      <c r="G40" s="7" t="str">
        <f ca="1">IFERROR(__xludf.DUMMYFUNCTION("""COMPUTED_VALUE"""),"CAMARA ACCION PARA ISLANDIA")</f>
        <v>CAMARA ACCION PARA ISLANDIA</v>
      </c>
      <c r="H40" s="15" t="str">
        <f ca="1">IFERROR(__xludf.DUMMYFUNCTION("""COMPUTED_VALUE"""),"Publicidad")</f>
        <v>Publicidad</v>
      </c>
      <c r="I40" s="16"/>
      <c r="J40" s="16">
        <f ca="1">IFERROR(__xludf.DUMMYFUNCTION("""COMPUTED_VALUE"""),46090)</f>
        <v>46090</v>
      </c>
      <c r="K40" s="7">
        <f ca="1">IFERROR(__xludf.DUMMYFUNCTION("""COMPUTED_VALUE"""),-699.99)</f>
        <v>-699.99</v>
      </c>
      <c r="L40" s="7" t="str">
        <f ca="1">IFERROR(__xludf.DUMMYFUNCTION("""COMPUTED_VALUE"""),"AUDICOST, S.L.U")</f>
        <v>AUDICOST, S.L.U</v>
      </c>
      <c r="M40" s="7"/>
      <c r="N40" s="7"/>
    </row>
    <row r="41" spans="1:14">
      <c r="A41" s="8" t="str">
        <f ca="1">IF(C41="","",IFERROR(VLOOKUP($E41,códigos!$R:$R,1,FALSE),"NO"))</f>
        <v>NO</v>
      </c>
      <c r="B41" s="7">
        <f ca="1">IFERROR(__xludf.DUMMYFUNCTION("""COMPUTED_VALUE"""),3)</f>
        <v>3</v>
      </c>
      <c r="C41" s="14" t="str">
        <f ca="1">IFERROR(__xludf.DUMMYFUNCTION("""COMPUTED_VALUE"""),"Maika Blázquez")</f>
        <v>Maika Blázquez</v>
      </c>
      <c r="D41" s="7" t="str">
        <f ca="1">IFERROR(__xludf.DUMMYFUNCTION("""COMPUTED_VALUE"""),"Madrid- Canillas")</f>
        <v>Madrid- Canillas</v>
      </c>
      <c r="E41" s="7" t="str">
        <f ca="1">IFERROR(__xludf.DUMMYFUNCTION("""COMPUTED_VALUE"""),"MBM50")</f>
        <v>MBM50</v>
      </c>
      <c r="F41" s="7" t="str">
        <f ca="1">IFERROR(__xludf.DUMMYFUNCTION("""COMPUTED_VALUE"""),"José Gustavo Barroso Braojos")</f>
        <v>José Gustavo Barroso Braojos</v>
      </c>
      <c r="G41" s="7" t="str">
        <f ca="1">IFERROR(__xludf.DUMMYFUNCTION("""COMPUTED_VALUE"""),"KIT BICICLETA PARA ISLANDIA")</f>
        <v>KIT BICICLETA PARA ISLANDIA</v>
      </c>
      <c r="H41" s="15" t="str">
        <f ca="1">IFERROR(__xludf.DUMMYFUNCTION("""COMPUTED_VALUE"""),"Publicidad")</f>
        <v>Publicidad</v>
      </c>
      <c r="I41" s="16"/>
      <c r="J41" s="16">
        <f ca="1">IFERROR(__xludf.DUMMYFUNCTION("""COMPUTED_VALUE"""),46090)</f>
        <v>46090</v>
      </c>
      <c r="K41" s="7">
        <f ca="1">IFERROR(__xludf.DUMMYFUNCTION("""COMPUTED_VALUE"""),-62.99)</f>
        <v>-62.99</v>
      </c>
      <c r="L41" s="7" t="str">
        <f ca="1">IFERROR(__xludf.DUMMYFUNCTION("""COMPUTED_VALUE"""),"AUDICOST, S.L.U")</f>
        <v>AUDICOST, S.L.U</v>
      </c>
      <c r="M41" s="7"/>
      <c r="N41" s="7"/>
    </row>
    <row r="42" spans="1:14">
      <c r="A42" s="8" t="str">
        <f ca="1">IF(C42="","",IFERROR(VLOOKUP($E42,códigos!$R:$R,1,FALSE),"NO"))</f>
        <v>NO</v>
      </c>
      <c r="B42" s="7">
        <f ca="1">IFERROR(__xludf.DUMMYFUNCTION("""COMPUTED_VALUE"""),3)</f>
        <v>3</v>
      </c>
      <c r="C42" s="14" t="str">
        <f ca="1">IFERROR(__xludf.DUMMYFUNCTION("""COMPUTED_VALUE"""),"Maika Blázquez")</f>
        <v>Maika Blázquez</v>
      </c>
      <c r="D42" s="7" t="str">
        <f ca="1">IFERROR(__xludf.DUMMYFUNCTION("""COMPUTED_VALUE"""),"Madrid- Canillas")</f>
        <v>Madrid- Canillas</v>
      </c>
      <c r="E42" s="7" t="str">
        <f ca="1">IFERROR(__xludf.DUMMYFUNCTION("""COMPUTED_VALUE"""),"MBM50")</f>
        <v>MBM50</v>
      </c>
      <c r="F42" s="7" t="str">
        <f ca="1">IFERROR(__xludf.DUMMYFUNCTION("""COMPUTED_VALUE"""),"José Gustavo Barroso Braojos")</f>
        <v>José Gustavo Barroso Braojos</v>
      </c>
      <c r="G42" s="7" t="str">
        <f ca="1">IFERROR(__xludf.DUMMYFUNCTION("""COMPUTED_VALUE"""),"CARCASA BUCEO PARA ISLANDIA")</f>
        <v>CARCASA BUCEO PARA ISLANDIA</v>
      </c>
      <c r="H42" s="15" t="str">
        <f ca="1">IFERROR(__xludf.DUMMYFUNCTION("""COMPUTED_VALUE"""),"Publicidad")</f>
        <v>Publicidad</v>
      </c>
      <c r="I42" s="16"/>
      <c r="J42" s="16">
        <f ca="1">IFERROR(__xludf.DUMMYFUNCTION("""COMPUTED_VALUE"""),46090)</f>
        <v>46090</v>
      </c>
      <c r="K42" s="7">
        <f ca="1">IFERROR(__xludf.DUMMYFUNCTION("""COMPUTED_VALUE"""),-119.99)</f>
        <v>-119.99</v>
      </c>
      <c r="L42" s="7" t="str">
        <f ca="1">IFERROR(__xludf.DUMMYFUNCTION("""COMPUTED_VALUE"""),"AUDICOST, S.L.U")</f>
        <v>AUDICOST, S.L.U</v>
      </c>
      <c r="M42" s="7"/>
      <c r="N42" s="7"/>
    </row>
    <row r="43" spans="1:14">
      <c r="A43" s="8" t="str">
        <f ca="1">IF(C43="","",IFERROR(VLOOKUP($E43,códigos!$R:$R,1,FALSE),"NO"))</f>
        <v>NO</v>
      </c>
      <c r="B43" s="7">
        <f ca="1">IFERROR(__xludf.DUMMYFUNCTION("""COMPUTED_VALUE"""),3)</f>
        <v>3</v>
      </c>
      <c r="C43" s="14" t="str">
        <f ca="1">IFERROR(__xludf.DUMMYFUNCTION("""COMPUTED_VALUE"""),"Maika Blázquez")</f>
        <v>Maika Blázquez</v>
      </c>
      <c r="D43" s="7" t="str">
        <f ca="1">IFERROR(__xludf.DUMMYFUNCTION("""COMPUTED_VALUE"""),"Madrid- Canillas")</f>
        <v>Madrid- Canillas</v>
      </c>
      <c r="E43" s="7" t="str">
        <f ca="1">IFERROR(__xludf.DUMMYFUNCTION("""COMPUTED_VALUE"""),"MBM50")</f>
        <v>MBM50</v>
      </c>
      <c r="F43" s="7" t="str">
        <f ca="1">IFERROR(__xludf.DUMMYFUNCTION("""COMPUTED_VALUE"""),"José Gustavo Barroso Braojos")</f>
        <v>José Gustavo Barroso Braojos</v>
      </c>
      <c r="G43" s="7" t="str">
        <f ca="1">IFERROR(__xludf.DUMMYFUNCTION("""COMPUTED_VALUE"""),"PRISMATICOS PARA ISLANDIA")</f>
        <v>PRISMATICOS PARA ISLANDIA</v>
      </c>
      <c r="H43" s="15" t="str">
        <f ca="1">IFERROR(__xludf.DUMMYFUNCTION("""COMPUTED_VALUE"""),"Publicidad")</f>
        <v>Publicidad</v>
      </c>
      <c r="I43" s="16"/>
      <c r="J43" s="16">
        <f ca="1">IFERROR(__xludf.DUMMYFUNCTION("""COMPUTED_VALUE"""),46090)</f>
        <v>46090</v>
      </c>
      <c r="K43" s="7">
        <f ca="1">IFERROR(__xludf.DUMMYFUNCTION("""COMPUTED_VALUE"""),-399)</f>
        <v>-399</v>
      </c>
      <c r="L43" s="7" t="str">
        <f ca="1">IFERROR(__xludf.DUMMYFUNCTION("""COMPUTED_VALUE"""),"AUDICOST, S.L.U")</f>
        <v>AUDICOST, S.L.U</v>
      </c>
      <c r="M43" s="7"/>
      <c r="N43" s="7"/>
    </row>
    <row r="44" spans="1:14">
      <c r="A44" s="8" t="str">
        <f ca="1">IF(C44="","",IFERROR(VLOOKUP($E44,códigos!$R:$R,1,FALSE),"NO"))</f>
        <v>NO</v>
      </c>
      <c r="B44" s="7">
        <f ca="1">IFERROR(__xludf.DUMMYFUNCTION("""COMPUTED_VALUE"""),3)</f>
        <v>3</v>
      </c>
      <c r="C44" s="14" t="str">
        <f ca="1">IFERROR(__xludf.DUMMYFUNCTION("""COMPUTED_VALUE"""),"Maika Blázquez")</f>
        <v>Maika Blázquez</v>
      </c>
      <c r="D44" s="7" t="str">
        <f ca="1">IFERROR(__xludf.DUMMYFUNCTION("""COMPUTED_VALUE"""),"Madrid- Canillas")</f>
        <v>Madrid- Canillas</v>
      </c>
      <c r="E44" s="7" t="str">
        <f ca="1">IFERROR(__xludf.DUMMYFUNCTION("""COMPUTED_VALUE"""),"MBM50")</f>
        <v>MBM50</v>
      </c>
      <c r="F44" s="7" t="str">
        <f ca="1">IFERROR(__xludf.DUMMYFUNCTION("""COMPUTED_VALUE"""),"José Gustavo Barroso Braojos")</f>
        <v>José Gustavo Barroso Braojos</v>
      </c>
      <c r="G44" s="7" t="str">
        <f ca="1">IFERROR(__xludf.DUMMYFUNCTION("""COMPUTED_VALUE"""),"LINTERNA PARA ISLANDIA")</f>
        <v>LINTERNA PARA ISLANDIA</v>
      </c>
      <c r="H44" s="15" t="str">
        <f ca="1">IFERROR(__xludf.DUMMYFUNCTION("""COMPUTED_VALUE"""),"Publicidad")</f>
        <v>Publicidad</v>
      </c>
      <c r="I44" s="19"/>
      <c r="J44" s="16">
        <f ca="1">IFERROR(__xludf.DUMMYFUNCTION("""COMPUTED_VALUE"""),46090)</f>
        <v>46090</v>
      </c>
      <c r="K44" s="7">
        <f ca="1">IFERROR(__xludf.DUMMYFUNCTION("""COMPUTED_VALUE"""),-153.97)</f>
        <v>-153.97</v>
      </c>
      <c r="L44" s="7" t="str">
        <f ca="1">IFERROR(__xludf.DUMMYFUNCTION("""COMPUTED_VALUE"""),"AUDICOST, S.L.U")</f>
        <v>AUDICOST, S.L.U</v>
      </c>
      <c r="M44" s="7"/>
      <c r="N44" s="7"/>
    </row>
    <row r="45" spans="1:14">
      <c r="A45" s="8" t="str">
        <f ca="1">IF(C45="","",IFERROR(VLOOKUP($E45,códigos!$R:$R,1,FALSE),"NO"))</f>
        <v>NO</v>
      </c>
      <c r="B45" s="7">
        <f ca="1">IFERROR(__xludf.DUMMYFUNCTION("""COMPUTED_VALUE"""),3)</f>
        <v>3</v>
      </c>
      <c r="C45" s="14" t="str">
        <f ca="1">IFERROR(__xludf.DUMMYFUNCTION("""COMPUTED_VALUE"""),"Maika Blázquez")</f>
        <v>Maika Blázquez</v>
      </c>
      <c r="D45" s="7" t="str">
        <f ca="1">IFERROR(__xludf.DUMMYFUNCTION("""COMPUTED_VALUE"""),"Madrid- Canillas")</f>
        <v>Madrid- Canillas</v>
      </c>
      <c r="E45" s="7" t="str">
        <f ca="1">IFERROR(__xludf.DUMMYFUNCTION("""COMPUTED_VALUE"""),"MBM50")</f>
        <v>MBM50</v>
      </c>
      <c r="F45" s="7" t="str">
        <f ca="1">IFERROR(__xludf.DUMMYFUNCTION("""COMPUTED_VALUE"""),"José Gustavo Barroso Braojos")</f>
        <v>José Gustavo Barroso Braojos</v>
      </c>
      <c r="G45" s="7" t="str">
        <f ca="1">IFERROR(__xludf.DUMMYFUNCTION("""COMPUTED_VALUE"""),"ESTUCHE LAPICES COLORES X 2")</f>
        <v>ESTUCHE LAPICES COLORES X 2</v>
      </c>
      <c r="H45" s="15" t="str">
        <f ca="1">IFERROR(__xludf.DUMMYFUNCTION("""COMPUTED_VALUE"""),"Publicidad")</f>
        <v>Publicidad</v>
      </c>
      <c r="I45" s="17"/>
      <c r="J45" s="16">
        <f ca="1">IFERROR(__xludf.DUMMYFUNCTION("""COMPUTED_VALUE"""),46090)</f>
        <v>46090</v>
      </c>
      <c r="K45" s="7">
        <f ca="1">IFERROR(__xludf.DUMMYFUNCTION("""COMPUTED_VALUE"""),-930)</f>
        <v>-930</v>
      </c>
      <c r="L45" s="7" t="str">
        <f ca="1">IFERROR(__xludf.DUMMYFUNCTION("""COMPUTED_VALUE"""),"AUDICOST, S.L.U")</f>
        <v>AUDICOST, S.L.U</v>
      </c>
      <c r="M45" s="7"/>
      <c r="N45" s="7"/>
    </row>
    <row r="46" spans="1:14">
      <c r="A46" s="8" t="str">
        <f ca="1">IF(C46="","",IFERROR(VLOOKUP($E46,códigos!$R:$R,1,FALSE),"NO"))</f>
        <v>NO</v>
      </c>
      <c r="B46" s="7">
        <f ca="1">IFERROR(__xludf.DUMMYFUNCTION("""COMPUTED_VALUE"""),3)</f>
        <v>3</v>
      </c>
      <c r="C46" s="14" t="str">
        <f ca="1">IFERROR(__xludf.DUMMYFUNCTION("""COMPUTED_VALUE"""),"Maika Blázquez")</f>
        <v>Maika Blázquez</v>
      </c>
      <c r="D46" s="7" t="str">
        <f ca="1">IFERROR(__xludf.DUMMYFUNCTION("""COMPUTED_VALUE"""),"Getafe")</f>
        <v>Getafe</v>
      </c>
      <c r="E46" s="7" t="str">
        <f ca="1">IFERROR(__xludf.DUMMYFUNCTION("""COMPUTED_VALUE"""),"MBM223")</f>
        <v>MBM223</v>
      </c>
      <c r="F46" s="7" t="str">
        <f ca="1">IFERROR(__xludf.DUMMYFUNCTION("""COMPUTED_VALUE"""),"Cristina Vaduva")</f>
        <v>Cristina Vaduva</v>
      </c>
      <c r="G46" s="7" t="str">
        <f ca="1">IFERROR(__xludf.DUMMYFUNCTION("""COMPUTED_VALUE"""),"ALQUILER PIEZO ELECTRICO")</f>
        <v>ALQUILER PIEZO ELECTRICO</v>
      </c>
      <c r="H46" s="15" t="str">
        <f ca="1">IFERROR(__xludf.DUMMYFUNCTION("""COMPUTED_VALUE"""),"Material para centro")</f>
        <v>Material para centro</v>
      </c>
      <c r="I46" s="17">
        <f ca="1">IFERROR(__xludf.DUMMYFUNCTION("""COMPUTED_VALUE"""),46092)</f>
        <v>46092</v>
      </c>
      <c r="J46" s="16">
        <f ca="1">IFERROR(__xludf.DUMMYFUNCTION("""COMPUTED_VALUE"""),46090)</f>
        <v>46090</v>
      </c>
      <c r="K46" s="7">
        <f ca="1">IFERROR(__xludf.DUMMYFUNCTION("""COMPUTED_VALUE"""),-2268.6)</f>
        <v>-2268.6</v>
      </c>
      <c r="L46" s="7" t="str">
        <f ca="1">IFERROR(__xludf.DUMMYFUNCTION("""COMPUTED_VALUE"""),"AUDIBRADA")</f>
        <v>AUDIBRADA</v>
      </c>
      <c r="M46" s="7"/>
      <c r="N46" s="7"/>
    </row>
    <row r="47" spans="1:14">
      <c r="A47" s="8" t="str">
        <f ca="1">IF(C47="","",IFERROR(VLOOKUP($E47,códigos!$R:$R,1,FALSE),"NO"))</f>
        <v>ISL14</v>
      </c>
      <c r="B47" s="7">
        <f ca="1">IFERROR(__xludf.DUMMYFUNCTION("""COMPUTED_VALUE"""),3)</f>
        <v>3</v>
      </c>
      <c r="C47" s="14" t="str">
        <f ca="1">IFERROR(__xludf.DUMMYFUNCTION("""COMPUTED_VALUE"""),"Iván Sánchez")</f>
        <v>Iván Sánchez</v>
      </c>
      <c r="D47" s="7" t="str">
        <f ca="1">IFERROR(__xludf.DUMMYFUNCTION("""COMPUTED_VALUE"""),"Orihuela")</f>
        <v>Orihuela</v>
      </c>
      <c r="E47" s="7" t="str">
        <f ca="1">IFERROR(__xludf.DUMMYFUNCTION("""COMPUTED_VALUE"""),"ISL14")</f>
        <v>ISL14</v>
      </c>
      <c r="F47" s="7" t="str">
        <f ca="1">IFERROR(__xludf.DUMMYFUNCTION("""COMPUTED_VALUE"""),"Carlos Velásquez Fermín")</f>
        <v>Carlos Velásquez Fermín</v>
      </c>
      <c r="G47" s="7" t="str">
        <f ca="1">IFERROR(__xludf.DUMMYFUNCTION("""COMPUTED_VALUE"""),"CURSO")</f>
        <v>CURSO</v>
      </c>
      <c r="H47" s="15" t="str">
        <f ca="1">IFERROR(__xludf.DUMMYFUNCTION("""COMPUTED_VALUE"""),"Inscripción")</f>
        <v>Inscripción</v>
      </c>
      <c r="I47" s="16">
        <f ca="1">IFERROR(__xludf.DUMMYFUNCTION("""COMPUTED_VALUE"""),46094)</f>
        <v>46094</v>
      </c>
      <c r="J47" s="16">
        <f ca="1">IFERROR(__xludf.DUMMYFUNCTION("""COMPUTED_VALUE"""),46090)</f>
        <v>46090</v>
      </c>
      <c r="K47" s="7">
        <f ca="1">IFERROR(__xludf.DUMMYFUNCTION("""COMPUTED_VALUE"""),-568.7)</f>
        <v>-568.70000000000005</v>
      </c>
      <c r="L47" s="7" t="str">
        <f ca="1">IFERROR(__xludf.DUMMYFUNCTION("""COMPUTED_VALUE"""),"AUDICOST, S.L.U")</f>
        <v>AUDICOST, S.L.U</v>
      </c>
      <c r="M47" s="7"/>
      <c r="N47" s="7"/>
    </row>
    <row r="48" spans="1:14">
      <c r="A48" s="8" t="str">
        <f ca="1">IF(C48="","",IFERROR(VLOOKUP($E48,códigos!$R:$R,1,FALSE),"NO"))</f>
        <v>NO</v>
      </c>
      <c r="B48" s="7">
        <f ca="1">IFERROR(__xludf.DUMMYFUNCTION("""COMPUTED_VALUE"""),3)</f>
        <v>3</v>
      </c>
      <c r="C48" s="14" t="str">
        <f ca="1">IFERROR(__xludf.DUMMYFUNCTION("""COMPUTED_VALUE"""),"Iván Sánchez")</f>
        <v>Iván Sánchez</v>
      </c>
      <c r="D48" s="7" t="str">
        <f ca="1">IFERROR(__xludf.DUMMYFUNCTION("""COMPUTED_VALUE"""),"Orihuela")</f>
        <v>Orihuela</v>
      </c>
      <c r="E48" s="7" t="str">
        <f ca="1">IFERROR(__xludf.DUMMYFUNCTION("""COMPUTED_VALUE"""),"ISL58")</f>
        <v>ISL58</v>
      </c>
      <c r="F48" s="7" t="str">
        <f ca="1">IFERROR(__xludf.DUMMYFUNCTION("""COMPUTED_VALUE"""),"Juan Javier Álvarez López")</f>
        <v>Juan Javier Álvarez López</v>
      </c>
      <c r="G48" s="7" t="str">
        <f ca="1">IFERROR(__xludf.DUMMYFUNCTION("""COMPUTED_VALUE"""),"IPHONE 17 PRO MAX 512 GB AZUL OSCURO")</f>
        <v>IPHONE 17 PRO MAX 512 GB AZUL OSCURO</v>
      </c>
      <c r="H48" s="15" t="str">
        <f ca="1">IFERROR(__xludf.DUMMYFUNCTION("""COMPUTED_VALUE"""),"Material para centro")</f>
        <v>Material para centro</v>
      </c>
      <c r="I48" s="16"/>
      <c r="J48" s="16">
        <f ca="1">IFERROR(__xludf.DUMMYFUNCTION("""COMPUTED_VALUE"""),46090)</f>
        <v>46090</v>
      </c>
      <c r="K48" s="7">
        <f ca="1">IFERROR(__xludf.DUMMYFUNCTION("""COMPUTED_VALUE"""),-1719)</f>
        <v>-1719</v>
      </c>
      <c r="L48" s="7" t="str">
        <f ca="1">IFERROR(__xludf.DUMMYFUNCTION("""COMPUTED_VALUE"""),"AUDICOST, S.L.U")</f>
        <v>AUDICOST, S.L.U</v>
      </c>
      <c r="M48" s="7"/>
      <c r="N48" s="7"/>
    </row>
    <row r="49" spans="1:14">
      <c r="A49" s="8" t="str">
        <f ca="1">IF(C49="","",IFERROR(VLOOKUP($E49,códigos!$R:$R,1,FALSE),"NO"))</f>
        <v>NO</v>
      </c>
      <c r="B49" s="7">
        <f ca="1">IFERROR(__xludf.DUMMYFUNCTION("""COMPUTED_VALUE"""),3)</f>
        <v>3</v>
      </c>
      <c r="C49" s="14" t="str">
        <f ca="1">IFERROR(__xludf.DUMMYFUNCTION("""COMPUTED_VALUE"""),"Iván Sánchez")</f>
        <v>Iván Sánchez</v>
      </c>
      <c r="D49" s="7" t="str">
        <f ca="1">IFERROR(__xludf.DUMMYFUNCTION("""COMPUTED_VALUE"""),"Orihuela")</f>
        <v>Orihuela</v>
      </c>
      <c r="E49" s="7" t="str">
        <f ca="1">IFERROR(__xludf.DUMMYFUNCTION("""COMPUTED_VALUE"""),"ISL58")</f>
        <v>ISL58</v>
      </c>
      <c r="F49" s="7" t="str">
        <f ca="1">IFERROR(__xludf.DUMMYFUNCTION("""COMPUTED_VALUE"""),"Juan Javier Álvarez López")</f>
        <v>Juan Javier Álvarez López</v>
      </c>
      <c r="G49" s="7" t="str">
        <f ca="1">IFERROR(__xludf.DUMMYFUNCTION("""COMPUTED_VALUE"""),"ASPIRADOR ESCOBA")</f>
        <v>ASPIRADOR ESCOBA</v>
      </c>
      <c r="H49" s="15" t="str">
        <f ca="1">IFERROR(__xludf.DUMMYFUNCTION("""COMPUTED_VALUE"""),"Material para centro")</f>
        <v>Material para centro</v>
      </c>
      <c r="I49" s="17"/>
      <c r="J49" s="16">
        <f ca="1">IFERROR(__xludf.DUMMYFUNCTION("""COMPUTED_VALUE"""),46090)</f>
        <v>46090</v>
      </c>
      <c r="K49" s="7">
        <f ca="1">IFERROR(__xludf.DUMMYFUNCTION("""COMPUTED_VALUE"""),-849)</f>
        <v>-849</v>
      </c>
      <c r="L49" s="7" t="str">
        <f ca="1">IFERROR(__xludf.DUMMYFUNCTION("""COMPUTED_VALUE"""),"AUDICOST, S.L.U")</f>
        <v>AUDICOST, S.L.U</v>
      </c>
      <c r="M49" s="7"/>
      <c r="N49" s="7"/>
    </row>
    <row r="50" spans="1:14">
      <c r="A50" s="8" t="str">
        <f ca="1">IF(C50="","",IFERROR(VLOOKUP($E50,códigos!$R:$R,1,FALSE),"NO"))</f>
        <v>NO</v>
      </c>
      <c r="B50" s="7">
        <f ca="1">IFERROR(__xludf.DUMMYFUNCTION("""COMPUTED_VALUE"""),3)</f>
        <v>3</v>
      </c>
      <c r="C50" s="14" t="str">
        <f ca="1">IFERROR(__xludf.DUMMYFUNCTION("""COMPUTED_VALUE"""),"Luis Alberto Rodríguez")</f>
        <v>Luis Alberto Rodríguez</v>
      </c>
      <c r="D50" s="7" t="str">
        <f ca="1">IFERROR(__xludf.DUMMYFUNCTION("""COMPUTED_VALUE"""),"Jerez de la Frontera")</f>
        <v>Jerez de la Frontera</v>
      </c>
      <c r="E50" s="7" t="str">
        <f ca="1">IFERROR(__xludf.DUMMYFUNCTION("""COMPUTED_VALUE"""),"LAA81")</f>
        <v>LAA81</v>
      </c>
      <c r="F50" s="7" t="str">
        <f ca="1">IFERROR(__xludf.DUMMYFUNCTION("""COMPUTED_VALUE"""),"Manuel Tucciarone")</f>
        <v>Manuel Tucciarone</v>
      </c>
      <c r="G50" s="7" t="str">
        <f ca="1">IFERROR(__xludf.DUMMYFUNCTION("""COMPUTED_VALUE"""),"HOTEL EN MADRID")</f>
        <v>HOTEL EN MADRID</v>
      </c>
      <c r="H50" s="15" t="str">
        <f ca="1">IFERROR(__xludf.DUMMYFUNCTION("""COMPUTED_VALUE"""),"Alojamiento")</f>
        <v>Alojamiento</v>
      </c>
      <c r="I50" s="17"/>
      <c r="J50" s="16">
        <f ca="1">IFERROR(__xludf.DUMMYFUNCTION("""COMPUTED_VALUE"""),46091)</f>
        <v>46091</v>
      </c>
      <c r="K50" s="7">
        <f ca="1">IFERROR(__xludf.DUMMYFUNCTION("""COMPUTED_VALUE"""),-1171.53)</f>
        <v>-1171.53</v>
      </c>
      <c r="L50" s="7" t="str">
        <f ca="1">IFERROR(__xludf.DUMMYFUNCTION("""COMPUTED_VALUE"""),"AUDICOST, S.L.U")</f>
        <v>AUDICOST, S.L.U</v>
      </c>
      <c r="M50" s="7"/>
      <c r="N50" s="7"/>
    </row>
    <row r="51" spans="1:14">
      <c r="A51" s="8" t="str">
        <f ca="1">IF(C51="","",IFERROR(VLOOKUP($E51,códigos!$R:$R,1,FALSE),"NO"))</f>
        <v>NO</v>
      </c>
      <c r="B51" s="7">
        <f ca="1">IFERROR(__xludf.DUMMYFUNCTION("""COMPUTED_VALUE"""),3)</f>
        <v>3</v>
      </c>
      <c r="C51" s="14" t="str">
        <f ca="1">IFERROR(__xludf.DUMMYFUNCTION("""COMPUTED_VALUE"""),"Iván Sánchez")</f>
        <v>Iván Sánchez</v>
      </c>
      <c r="D51" s="7" t="str">
        <f ca="1">IFERROR(__xludf.DUMMYFUNCTION("""COMPUTED_VALUE"""),"Orihuela")</f>
        <v>Orihuela</v>
      </c>
      <c r="E51" s="7" t="str">
        <f ca="1">IFERROR(__xludf.DUMMYFUNCTION("""COMPUTED_VALUE"""),"ISL142")</f>
        <v>ISL142</v>
      </c>
      <c r="F51" s="7" t="str">
        <f ca="1">IFERROR(__xludf.DUMMYFUNCTION("""COMPUTED_VALUE"""),"Marina Pérez Grau")</f>
        <v>Marina Pérez Grau</v>
      </c>
      <c r="G51" s="7" t="str">
        <f ca="1">IFERROR(__xludf.DUMMYFUNCTION("""COMPUTED_VALUE"""),"CURSO RINOPLASTIA")</f>
        <v>CURSO RINOPLASTIA</v>
      </c>
      <c r="H51" s="15" t="str">
        <f ca="1">IFERROR(__xludf.DUMMYFUNCTION("""COMPUTED_VALUE"""),"Inscripción")</f>
        <v>Inscripción</v>
      </c>
      <c r="I51" s="16">
        <f ca="1">IFERROR(__xludf.DUMMYFUNCTION("""COMPUTED_VALUE"""),46094)</f>
        <v>46094</v>
      </c>
      <c r="J51" s="16">
        <f ca="1">IFERROR(__xludf.DUMMYFUNCTION("""COMPUTED_VALUE"""),46092)</f>
        <v>46092</v>
      </c>
      <c r="K51" s="7">
        <f ca="1">IFERROR(__xludf.DUMMYFUNCTION("""COMPUTED_VALUE"""),-2176.19)</f>
        <v>-2176.19</v>
      </c>
      <c r="L51" s="7" t="str">
        <f ca="1">IFERROR(__xludf.DUMMYFUNCTION("""COMPUTED_VALUE"""),"AUDICOST, S.L.U")</f>
        <v>AUDICOST, S.L.U</v>
      </c>
      <c r="M51" s="7"/>
      <c r="N51" s="7"/>
    </row>
    <row r="52" spans="1:14">
      <c r="A52" s="8" t="str">
        <f ca="1">IF(C52="","",IFERROR(VLOOKUP($E52,códigos!$R:$R,1,FALSE),"NO"))</f>
        <v>NO</v>
      </c>
      <c r="B52" s="7">
        <f ca="1">IFERROR(__xludf.DUMMYFUNCTION("""COMPUTED_VALUE"""),3)</f>
        <v>3</v>
      </c>
      <c r="C52" s="14" t="str">
        <f ca="1">IFERROR(__xludf.DUMMYFUNCTION("""COMPUTED_VALUE"""),"Iván Sánchez")</f>
        <v>Iván Sánchez</v>
      </c>
      <c r="D52" s="7" t="str">
        <f ca="1">IFERROR(__xludf.DUMMYFUNCTION("""COMPUTED_VALUE"""),"Alicante")</f>
        <v>Alicante</v>
      </c>
      <c r="E52" s="7" t="str">
        <f ca="1">IFERROR(__xludf.DUMMYFUNCTION("""COMPUTED_VALUE"""),"ISL105")</f>
        <v>ISL105</v>
      </c>
      <c r="F52" s="7" t="str">
        <f ca="1">IFERROR(__xludf.DUMMYFUNCTION("""COMPUTED_VALUE"""),"Karen Rojas Crespo")</f>
        <v>Karen Rojas Crespo</v>
      </c>
      <c r="G52" s="7" t="str">
        <f ca="1">IFERROR(__xludf.DUMMYFUNCTION("""COMPUTED_VALUE"""),"CURSO")</f>
        <v>CURSO</v>
      </c>
      <c r="H52" s="15" t="str">
        <f ca="1">IFERROR(__xludf.DUMMYFUNCTION("""COMPUTED_VALUE"""),"Inscripción")</f>
        <v>Inscripción</v>
      </c>
      <c r="I52" s="16">
        <f ca="1">IFERROR(__xludf.DUMMYFUNCTION("""COMPUTED_VALUE"""),46106)</f>
        <v>46106</v>
      </c>
      <c r="J52" s="16">
        <f ca="1">IFERROR(__xludf.DUMMYFUNCTION("""COMPUTED_VALUE"""),46099)</f>
        <v>46099</v>
      </c>
      <c r="K52" s="7">
        <f ca="1">IFERROR(__xludf.DUMMYFUNCTION("""COMPUTED_VALUE"""),-599.52)</f>
        <v>-599.52</v>
      </c>
      <c r="L52" s="7" t="str">
        <f ca="1">IFERROR(__xludf.DUMMYFUNCTION("""COMPUTED_VALUE"""),"AUDICANTE")</f>
        <v>AUDICANTE</v>
      </c>
      <c r="M52" s="7"/>
      <c r="N52" s="7"/>
    </row>
    <row r="53" spans="1:14">
      <c r="A53" s="8" t="str">
        <f ca="1">IF(C53="","",IFERROR(VLOOKUP($E53,códigos!$R:$R,1,FALSE),"NO"))</f>
        <v>NO</v>
      </c>
      <c r="B53" s="7">
        <f ca="1">IFERROR(__xludf.DUMMYFUNCTION("""COMPUTED_VALUE"""),3)</f>
        <v>3</v>
      </c>
      <c r="C53" s="14" t="str">
        <f ca="1">IFERROR(__xludf.DUMMYFUNCTION("""COMPUTED_VALUE"""),"Lisandro Russian")</f>
        <v>Lisandro Russian</v>
      </c>
      <c r="D53" s="7" t="str">
        <f ca="1">IFERROR(__xludf.DUMMYFUNCTION("""COMPUTED_VALUE"""),"Logroño")</f>
        <v>Logroño</v>
      </c>
      <c r="E53" s="7" t="str">
        <f ca="1">IFERROR(__xludf.DUMMYFUNCTION("""COMPUTED_VALUE"""),"LRM261")</f>
        <v>LRM261</v>
      </c>
      <c r="F53" s="7" t="str">
        <f ca="1">IFERROR(__xludf.DUMMYFUNCTION("""COMPUTED_VALUE"""),"Miguel Garikoitz Calzada Uriondo")</f>
        <v>Miguel Garikoitz Calzada Uriondo</v>
      </c>
      <c r="G53" s="7" t="str">
        <f ca="1">IFERROR(__xludf.DUMMYFUNCTION("""COMPUTED_VALUE"""),"ESTANCIA EN CHICLANA")</f>
        <v>ESTANCIA EN CHICLANA</v>
      </c>
      <c r="H53" s="15" t="str">
        <f ca="1">IFERROR(__xludf.DUMMYFUNCTION("""COMPUTED_VALUE"""),"Alojamiento")</f>
        <v>Alojamiento</v>
      </c>
      <c r="I53" s="16">
        <f ca="1">IFERROR(__xludf.DUMMYFUNCTION("""COMPUTED_VALUE"""),46099)</f>
        <v>46099</v>
      </c>
      <c r="J53" s="7"/>
      <c r="K53" s="7"/>
      <c r="L53" s="7" t="str">
        <f ca="1">IFERROR(__xludf.DUMMYFUNCTION("""COMPUTED_VALUE"""),"AUDICOST LOGROÑO ")</f>
        <v>AUDICOST LOGROÑO </v>
      </c>
      <c r="M53" s="7"/>
      <c r="N53" s="7"/>
    </row>
    <row r="54" spans="1:14">
      <c r="A54" s="8" t="str">
        <f ca="1">IF(C54="","",IFERROR(VLOOKUP($E54,códigos!$R:$R,1,FALSE),"NO"))</f>
        <v>NO</v>
      </c>
      <c r="B54" s="7">
        <f ca="1">IFERROR(__xludf.DUMMYFUNCTION("""COMPUTED_VALUE"""),3)</f>
        <v>3</v>
      </c>
      <c r="C54" s="14" t="str">
        <f ca="1">IFERROR(__xludf.DUMMYFUNCTION("""COMPUTED_VALUE"""),"Maika Blázquez")</f>
        <v>Maika Blázquez</v>
      </c>
      <c r="D54" s="7" t="str">
        <f ca="1">IFERROR(__xludf.DUMMYFUNCTION("""COMPUTED_VALUE"""),"Madrid- Canillas")</f>
        <v>Madrid- Canillas</v>
      </c>
      <c r="E54" s="7" t="str">
        <f ca="1">IFERROR(__xludf.DUMMYFUNCTION("""COMPUTED_VALUE"""),"MBM50")</f>
        <v>MBM50</v>
      </c>
      <c r="F54" s="7" t="str">
        <f ca="1">IFERROR(__xludf.DUMMYFUNCTION("""COMPUTED_VALUE"""),"José Gustavo Barroso Braojos")</f>
        <v>José Gustavo Barroso Braojos</v>
      </c>
      <c r="G54" s="7" t="str">
        <f ca="1">IFERROR(__xludf.DUMMYFUNCTION("""COMPUTED_VALUE"""),"ENTRADAS CIRCO SOL")</f>
        <v>ENTRADAS CIRCO SOL</v>
      </c>
      <c r="H54" s="15" t="str">
        <f ca="1">IFERROR(__xludf.DUMMYFUNCTION("""COMPUTED_VALUE"""),"Publicidad")</f>
        <v>Publicidad</v>
      </c>
      <c r="I54" s="16">
        <f ca="1">IFERROR(__xludf.DUMMYFUNCTION("""COMPUTED_VALUE"""),46099)</f>
        <v>46099</v>
      </c>
      <c r="J54" s="7"/>
      <c r="K54" s="7"/>
      <c r="L54" s="7" t="str">
        <f ca="1">IFERROR(__xludf.DUMMYFUNCTION("""COMPUTED_VALUE"""),"AUDICOST, S.L.U")</f>
        <v>AUDICOST, S.L.U</v>
      </c>
      <c r="M54" s="7"/>
      <c r="N54" s="7"/>
    </row>
    <row r="55" spans="1:14">
      <c r="A55" s="8" t="str">
        <f ca="1">IF(C55="","",IFERROR(VLOOKUP($E55,códigos!$R:$R,1,FALSE),"NO"))</f>
        <v>ISL14</v>
      </c>
      <c r="B55" s="7">
        <f ca="1">IFERROR(__xludf.DUMMYFUNCTION("""COMPUTED_VALUE"""),3)</f>
        <v>3</v>
      </c>
      <c r="C55" s="14" t="str">
        <f ca="1">IFERROR(__xludf.DUMMYFUNCTION("""COMPUTED_VALUE"""),"Iván Sánchez")</f>
        <v>Iván Sánchez</v>
      </c>
      <c r="D55" s="7" t="str">
        <f ca="1">IFERROR(__xludf.DUMMYFUNCTION("""COMPUTED_VALUE"""),"Orihuela")</f>
        <v>Orihuela</v>
      </c>
      <c r="E55" s="7" t="str">
        <f ca="1">IFERROR(__xludf.DUMMYFUNCTION("""COMPUTED_VALUE"""),"ISL14")</f>
        <v>ISL14</v>
      </c>
      <c r="F55" s="7" t="str">
        <f ca="1">IFERROR(__xludf.DUMMYFUNCTION("""COMPUTED_VALUE"""),"Carlos Velásquez Fermín")</f>
        <v>Carlos Velásquez Fermín</v>
      </c>
      <c r="G55" s="7" t="str">
        <f ca="1">IFERROR(__xludf.DUMMYFUNCTION("""COMPUTED_VALUE"""),"HOTEL Y AVION")</f>
        <v>HOTEL Y AVION</v>
      </c>
      <c r="H55" s="15" t="str">
        <f ca="1">IFERROR(__xludf.DUMMYFUNCTION("""COMPUTED_VALUE"""),"Alojamiento y traslado")</f>
        <v>Alojamiento y traslado</v>
      </c>
      <c r="I55" s="16">
        <f ca="1">IFERROR(__xludf.DUMMYFUNCTION("""COMPUTED_VALUE"""),46106)</f>
        <v>46106</v>
      </c>
      <c r="J55" s="16">
        <f ca="1">IFERROR(__xludf.DUMMYFUNCTION("""COMPUTED_VALUE"""),46105)</f>
        <v>46105</v>
      </c>
      <c r="K55" s="7">
        <f ca="1">IFERROR(__xludf.DUMMYFUNCTION("""COMPUTED_VALUE"""),-2286.1)</f>
        <v>-2286.1</v>
      </c>
      <c r="L55" s="7" t="str">
        <f ca="1">IFERROR(__xludf.DUMMYFUNCTION("""COMPUTED_VALUE"""),"AUDICOST, S.L.U")</f>
        <v>AUDICOST, S.L.U</v>
      </c>
      <c r="M55" s="7"/>
      <c r="N55" s="7"/>
    </row>
    <row r="56" spans="1:14">
      <c r="A56" s="8" t="str">
        <f ca="1">IF(C56="","",IFERROR(VLOOKUP($E56,códigos!$R:$R,1,FALSE),"NO"))</f>
        <v>NO</v>
      </c>
      <c r="B56" s="7">
        <f ca="1">IFERROR(__xludf.DUMMYFUNCTION("""COMPUTED_VALUE"""),3)</f>
        <v>3</v>
      </c>
      <c r="C56" s="14" t="str">
        <f ca="1">IFERROR(__xludf.DUMMYFUNCTION("""COMPUTED_VALUE"""),"Luis Alberto Rodríguez")</f>
        <v>Luis Alberto Rodríguez</v>
      </c>
      <c r="D56" s="7" t="str">
        <f ca="1">IFERROR(__xludf.DUMMYFUNCTION("""COMPUTED_VALUE"""),"Sevilla- Montoto")</f>
        <v>Sevilla- Montoto</v>
      </c>
      <c r="E56" s="7" t="str">
        <f ca="1">IFERROR(__xludf.DUMMYFUNCTION("""COMPUTED_VALUE"""),"LAA47")</f>
        <v>LAA47</v>
      </c>
      <c r="F56" s="7" t="str">
        <f ca="1">IFERROR(__xludf.DUMMYFUNCTION("""COMPUTED_VALUE"""),"Estefanía Berrocal Postigo")</f>
        <v>Estefanía Berrocal Postigo</v>
      </c>
      <c r="G56" s="7" t="str">
        <f ca="1">IFERROR(__xludf.DUMMYFUNCTION("""COMPUTED_VALUE"""),"REUNION OTORRINOS EN REPUBLICA DOMINICANA")</f>
        <v>REUNION OTORRINOS EN REPUBLICA DOMINICANA</v>
      </c>
      <c r="H56" s="15" t="str">
        <f ca="1">IFERROR(__xludf.DUMMYFUNCTION("""COMPUTED_VALUE"""),"Congreso internacional personal")</f>
        <v>Congreso internacional personal</v>
      </c>
      <c r="I56" s="16">
        <f ca="1">IFERROR(__xludf.DUMMYFUNCTION("""COMPUTED_VALUE"""),46108)</f>
        <v>46108</v>
      </c>
      <c r="J56" s="16">
        <f ca="1">IFERROR(__xludf.DUMMYFUNCTION("""COMPUTED_VALUE"""),46107)</f>
        <v>46107</v>
      </c>
      <c r="K56" s="7">
        <f ca="1">IFERROR(__xludf.DUMMYFUNCTION("""COMPUTED_VALUE"""),-13700)</f>
        <v>-13700</v>
      </c>
      <c r="L56" s="7" t="str">
        <f ca="1">IFERROR(__xludf.DUMMYFUNCTION("""COMPUTED_VALUE"""),"OIR VITAL CENTROS AUDITIVOS ")</f>
        <v>OIR VITAL CENTROS AUDITIVOS </v>
      </c>
      <c r="M56" s="7"/>
      <c r="N56" s="7"/>
    </row>
    <row r="57" spans="1:14">
      <c r="A57" s="8" t="str">
        <f ca="1">IF(C57="","",IFERROR(VLOOKUP($E57,códigos!$R:$R,1,FALSE),"NO"))</f>
        <v>NO</v>
      </c>
      <c r="B57" s="7">
        <f ca="1">IFERROR(__xludf.DUMMYFUNCTION("""COMPUTED_VALUE"""),3)</f>
        <v>3</v>
      </c>
      <c r="C57" s="14" t="str">
        <f ca="1">IFERROR(__xludf.DUMMYFUNCTION("""COMPUTED_VALUE"""),"Ramon Ferrando")</f>
        <v>Ramon Ferrando</v>
      </c>
      <c r="D57" s="7" t="str">
        <f ca="1">IFERROR(__xludf.DUMMYFUNCTION("""COMPUTED_VALUE"""),"Valencia- Cadiz")</f>
        <v>Valencia- Cadiz</v>
      </c>
      <c r="E57" s="7" t="str">
        <f ca="1">IFERROR(__xludf.DUMMYFUNCTION("""COMPUTED_VALUE"""),"RFV26")</f>
        <v>RFV26</v>
      </c>
      <c r="F57" s="7" t="str">
        <f ca="1">IFERROR(__xludf.DUMMYFUNCTION("""COMPUTED_VALUE"""),"Ainhoa García-Lliberos de Miguel")</f>
        <v>Ainhoa García-Lliberos de Miguel</v>
      </c>
      <c r="G57" s="7" t="str">
        <f ca="1">IFERROR(__xludf.DUMMYFUNCTION("""COMPUTED_VALUE"""),"INSCRIPION CONGRESO")</f>
        <v>INSCRIPION CONGRESO</v>
      </c>
      <c r="H57" s="15" t="str">
        <f ca="1">IFERROR(__xludf.DUMMYFUNCTION("""COMPUTED_VALUE"""),"Inscripción")</f>
        <v>Inscripción</v>
      </c>
      <c r="I57" s="16">
        <f ca="1">IFERROR(__xludf.DUMMYFUNCTION("""COMPUTED_VALUE"""),46108)</f>
        <v>46108</v>
      </c>
      <c r="J57" s="16">
        <f ca="1">IFERROR(__xludf.DUMMYFUNCTION("""COMPUTED_VALUE"""),46107)</f>
        <v>46107</v>
      </c>
      <c r="K57" s="7">
        <f ca="1">IFERROR(__xludf.DUMMYFUNCTION("""COMPUTED_VALUE"""),-490.51)</f>
        <v>-490.51</v>
      </c>
      <c r="L57" s="7" t="str">
        <f ca="1">IFERROR(__xludf.DUMMYFUNCTION("""COMPUTED_VALUE"""),"AUDICANTE")</f>
        <v>AUDICANTE</v>
      </c>
      <c r="M57" s="7"/>
      <c r="N57" s="7"/>
    </row>
    <row r="58" spans="1:14">
      <c r="A58" s="8" t="str">
        <f ca="1">IF(C58="","",IFERROR(VLOOKUP($E58,códigos!$R:$R,1,FALSE),"NO"))</f>
        <v>ISL14</v>
      </c>
      <c r="B58" s="7">
        <f ca="1">IFERROR(__xludf.DUMMYFUNCTION("""COMPUTED_VALUE"""),3)</f>
        <v>3</v>
      </c>
      <c r="C58" s="14" t="str">
        <f ca="1">IFERROR(__xludf.DUMMYFUNCTION("""COMPUTED_VALUE"""),"Iván Sánchez")</f>
        <v>Iván Sánchez</v>
      </c>
      <c r="D58" s="7" t="str">
        <f ca="1">IFERROR(__xludf.DUMMYFUNCTION("""COMPUTED_VALUE"""),"Alicante")</f>
        <v>Alicante</v>
      </c>
      <c r="E58" s="7" t="str">
        <f ca="1">IFERROR(__xludf.DUMMYFUNCTION("""COMPUTED_VALUE"""),"ISL14")</f>
        <v>ISL14</v>
      </c>
      <c r="F58" s="7" t="str">
        <f ca="1">IFERROR(__xludf.DUMMYFUNCTION("""COMPUTED_VALUE"""),"Carlos Velásquez Fermín")</f>
        <v>Carlos Velásquez Fermín</v>
      </c>
      <c r="G58" s="7" t="str">
        <f ca="1">IFERROR(__xludf.DUMMYFUNCTION("""COMPUTED_VALUE"""),"TRASLADO")</f>
        <v>TRASLADO</v>
      </c>
      <c r="H58" s="15" t="str">
        <f ca="1">IFERROR(__xludf.DUMMYFUNCTION("""COMPUTED_VALUE"""),"Traslado")</f>
        <v>Traslado</v>
      </c>
      <c r="I58" s="16">
        <f ca="1">IFERROR(__xludf.DUMMYFUNCTION("""COMPUTED_VALUE"""),46112)</f>
        <v>46112</v>
      </c>
      <c r="J58" s="16">
        <f ca="1">IFERROR(__xludf.DUMMYFUNCTION("""COMPUTED_VALUE"""),46111)</f>
        <v>46111</v>
      </c>
      <c r="K58" s="7">
        <f ca="1">IFERROR(__xludf.DUMMYFUNCTION("""COMPUTED_VALUE"""),-856.98)</f>
        <v>-856.98</v>
      </c>
      <c r="L58" s="7" t="str">
        <f ca="1">IFERROR(__xludf.DUMMYFUNCTION("""COMPUTED_VALUE"""),"AUDICANTE")</f>
        <v>AUDICANTE</v>
      </c>
      <c r="M58" s="7"/>
      <c r="N58" s="7"/>
    </row>
    <row r="59" spans="1:14">
      <c r="A59" s="8" t="str">
        <f ca="1">IF(C59="","",IFERROR(VLOOKUP($E59,códigos!$R:$R,1,FALSE),"NO"))</f>
        <v>NO</v>
      </c>
      <c r="B59" s="7">
        <f ca="1">IFERROR(__xludf.DUMMYFUNCTION("""COMPUTED_VALUE"""),3)</f>
        <v>3</v>
      </c>
      <c r="C59" s="14" t="str">
        <f ca="1">IFERROR(__xludf.DUMMYFUNCTION("""COMPUTED_VALUE"""),"Iván Sánchez")</f>
        <v>Iván Sánchez</v>
      </c>
      <c r="D59" s="7" t="str">
        <f ca="1">IFERROR(__xludf.DUMMYFUNCTION("""COMPUTED_VALUE"""),"Murcia")</f>
        <v>Murcia</v>
      </c>
      <c r="E59" s="7" t="str">
        <f ca="1">IFERROR(__xludf.DUMMYFUNCTION("""COMPUTED_VALUE"""),"ISL24")</f>
        <v>ISL24</v>
      </c>
      <c r="F59" s="7" t="str">
        <f ca="1">IFERROR(__xludf.DUMMYFUNCTION("""COMPUTED_VALUE"""),"Enrique López Meseguer")</f>
        <v>Enrique López Meseguer</v>
      </c>
      <c r="G59" s="7" t="str">
        <f ca="1">IFERROR(__xludf.DUMMYFUNCTION("""COMPUTED_VALUE"""),"VIAJE CAMINO SANTIAGO-DEPOSITO DEL 20%")</f>
        <v>VIAJE CAMINO SANTIAGO-DEPOSITO DEL 20%</v>
      </c>
      <c r="H59" s="15" t="str">
        <f ca="1">IFERROR(__xludf.DUMMYFUNCTION("""COMPUTED_VALUE"""),"Congreso nacional personal")</f>
        <v>Congreso nacional personal</v>
      </c>
      <c r="I59" s="16">
        <f ca="1">IFERROR(__xludf.DUMMYFUNCTION("""COMPUTED_VALUE"""),46112)</f>
        <v>46112</v>
      </c>
      <c r="J59" s="16">
        <f ca="1">IFERROR(__xludf.DUMMYFUNCTION("""COMPUTED_VALUE"""),46112)</f>
        <v>46112</v>
      </c>
      <c r="K59" s="7">
        <f ca="1">IFERROR(__xludf.DUMMYFUNCTION("""COMPUTED_VALUE"""),-318)</f>
        <v>-318</v>
      </c>
      <c r="L59" s="7" t="str">
        <f ca="1">IFERROR(__xludf.DUMMYFUNCTION("""COMPUTED_VALUE"""),"AUDICANTE")</f>
        <v>AUDICANTE</v>
      </c>
      <c r="M59" s="7"/>
      <c r="N59" s="7"/>
    </row>
    <row r="60" spans="1:14">
      <c r="A60" s="8" t="str">
        <f ca="1">IF(C60="","",IFERROR(VLOOKUP($E60,códigos!$R:$R,1,FALSE),"NO"))</f>
        <v>NO</v>
      </c>
      <c r="B60" s="7">
        <f ca="1">IFERROR(__xludf.DUMMYFUNCTION("""COMPUTED_VALUE"""),3)</f>
        <v>3</v>
      </c>
      <c r="C60" s="14" t="str">
        <f ca="1">IFERROR(__xludf.DUMMYFUNCTION("""COMPUTED_VALUE"""),"Maika Blázquez")</f>
        <v>Maika Blázquez</v>
      </c>
      <c r="D60" s="7" t="str">
        <f ca="1">IFERROR(__xludf.DUMMYFUNCTION("""COMPUTED_VALUE"""),"Madrid- La Oca")</f>
        <v>Madrid- La Oca</v>
      </c>
      <c r="E60" s="7" t="str">
        <f ca="1">IFERROR(__xludf.DUMMYFUNCTION("""COMPUTED_VALUE"""),"MBM231")</f>
        <v>MBM231</v>
      </c>
      <c r="F60" s="7" t="str">
        <f ca="1">IFERROR(__xludf.DUMMYFUNCTION("""COMPUTED_VALUE"""),"Itziar Jimenez Gomez")</f>
        <v>Itziar Jimenez Gomez</v>
      </c>
      <c r="G60" s="7" t="str">
        <f ca="1">IFERROR(__xludf.DUMMYFUNCTION("""COMPUTED_VALUE"""),"CURSO")</f>
        <v>CURSO</v>
      </c>
      <c r="H60" s="15" t="str">
        <f ca="1">IFERROR(__xludf.DUMMYFUNCTION("""COMPUTED_VALUE"""),"Inscripción")</f>
        <v>Inscripción</v>
      </c>
      <c r="I60" s="16"/>
      <c r="J60" s="16">
        <f ca="1">IFERROR(__xludf.DUMMYFUNCTION("""COMPUTED_VALUE"""),46111)</f>
        <v>46111</v>
      </c>
      <c r="K60" s="7">
        <f ca="1">IFERROR(__xludf.DUMMYFUNCTION("""COMPUTED_VALUE"""),-600)</f>
        <v>-600</v>
      </c>
      <c r="L60" s="7" t="str">
        <f ca="1">IFERROR(__xludf.DUMMYFUNCTION("""COMPUTED_VALUE"""),"SIEMA BLINK, S.L")</f>
        <v>SIEMA BLINK, S.L</v>
      </c>
      <c r="M60" s="7"/>
      <c r="N60" s="7"/>
    </row>
    <row r="61" spans="1:14">
      <c r="A61" s="8" t="str">
        <f ca="1">IF(C61="","",IFERROR(VLOOKUP($E61,códigos!$R:$R,1,FALSE),"NO"))</f>
        <v>NO</v>
      </c>
      <c r="B61" s="7">
        <f ca="1">IFERROR(__xludf.DUMMYFUNCTION("""COMPUTED_VALUE"""),1)</f>
        <v>1</v>
      </c>
      <c r="C61" s="14" t="str">
        <f ca="1">IFERROR(__xludf.DUMMYFUNCTION("""COMPUTED_VALUE"""),"Lisandro Russian")</f>
        <v>Lisandro Russian</v>
      </c>
      <c r="D61" s="7" t="str">
        <f ca="1">IFERROR(__xludf.DUMMYFUNCTION("""COMPUTED_VALUE"""),"Madrid- Juan Bravo")</f>
        <v>Madrid- Juan Bravo</v>
      </c>
      <c r="E61" s="7" t="str">
        <f ca="1">IFERROR(__xludf.DUMMYFUNCTION("""COMPUTED_VALUE"""),"LRM239")</f>
        <v>LRM239</v>
      </c>
      <c r="F61" s="7" t="str">
        <f ca="1">IFERROR(__xludf.DUMMYFUNCTION("""COMPUTED_VALUE"""),"Carlos Barajas Del Rosal")</f>
        <v>Carlos Barajas Del Rosal</v>
      </c>
      <c r="G61" s="7" t="str">
        <f ca="1">IFERROR(__xludf.DUMMYFUNCTION("""COMPUTED_VALUE"""),"COSTES DE EMPLEADA-ENERO")</f>
        <v>COSTES DE EMPLEADA-ENERO</v>
      </c>
      <c r="H61" s="15" t="str">
        <f ca="1">IFERROR(__xludf.DUMMYFUNCTION("""COMPUTED_VALUE"""),"Gastos de personal")</f>
        <v>Gastos de personal</v>
      </c>
      <c r="I61" s="16" t="str">
        <f ca="1">IFERROR(__xludf.DUMMYFUNCTION("""COMPUTED_VALUE""")," ")</f>
        <v xml:space="preserve"> </v>
      </c>
      <c r="J61" s="18"/>
      <c r="K61" s="18">
        <f ca="1">IFERROR(__xludf.DUMMYFUNCTION("""COMPUTED_VALUE"""),-1398.88)</f>
        <v>-1398.88</v>
      </c>
      <c r="L61" s="7" t="str">
        <f ca="1">IFERROR(__xludf.DUMMYFUNCTION("""COMPUTED_VALUE"""),"AUDICOST, S.L.U")</f>
        <v>AUDICOST, S.L.U</v>
      </c>
      <c r="M61" s="7"/>
      <c r="N61" s="7"/>
    </row>
    <row r="62" spans="1:14">
      <c r="A62" s="8" t="str">
        <f ca="1">IF(C62="","",IFERROR(VLOOKUP($E62,códigos!$R:$R,1,FALSE),"NO"))</f>
        <v>NO</v>
      </c>
      <c r="B62" s="7">
        <f ca="1">IFERROR(__xludf.DUMMYFUNCTION("""COMPUTED_VALUE"""),2)</f>
        <v>2</v>
      </c>
      <c r="C62" s="14" t="str">
        <f ca="1">IFERROR(__xludf.DUMMYFUNCTION("""COMPUTED_VALUE"""),"Lisandro Russian")</f>
        <v>Lisandro Russian</v>
      </c>
      <c r="D62" s="7" t="str">
        <f ca="1">IFERROR(__xludf.DUMMYFUNCTION("""COMPUTED_VALUE"""),"Madrid- Juan Bravo")</f>
        <v>Madrid- Juan Bravo</v>
      </c>
      <c r="E62" s="7" t="str">
        <f ca="1">IFERROR(__xludf.DUMMYFUNCTION("""COMPUTED_VALUE"""),"LRM239")</f>
        <v>LRM239</v>
      </c>
      <c r="F62" s="7" t="str">
        <f ca="1">IFERROR(__xludf.DUMMYFUNCTION("""COMPUTED_VALUE"""),"Carlos Barajas Del Rosal")</f>
        <v>Carlos Barajas Del Rosal</v>
      </c>
      <c r="G62" s="7" t="str">
        <f ca="1">IFERROR(__xludf.DUMMYFUNCTION("""COMPUTED_VALUE"""),"COSTES DE EMPLEADA-FEBRERO")</f>
        <v>COSTES DE EMPLEADA-FEBRERO</v>
      </c>
      <c r="H62" s="15" t="str">
        <f ca="1">IFERROR(__xludf.DUMMYFUNCTION("""COMPUTED_VALUE"""),"Gastos de personal")</f>
        <v>Gastos de personal</v>
      </c>
      <c r="I62" s="16" t="str">
        <f ca="1">IFERROR(__xludf.DUMMYFUNCTION("""COMPUTED_VALUE""")," ")</f>
        <v xml:space="preserve"> </v>
      </c>
      <c r="J62" s="18"/>
      <c r="K62" s="18">
        <f ca="1">IFERROR(__xludf.DUMMYFUNCTION("""COMPUTED_VALUE"""),-1398.88)</f>
        <v>-1398.88</v>
      </c>
      <c r="L62" s="7" t="str">
        <f ca="1">IFERROR(__xludf.DUMMYFUNCTION("""COMPUTED_VALUE"""),"AUDICOST, S.L.U")</f>
        <v>AUDICOST, S.L.U</v>
      </c>
      <c r="M62" s="7"/>
      <c r="N62" s="7"/>
    </row>
    <row r="63" spans="1:14">
      <c r="A63" s="8" t="str">
        <f ca="1">IF(C63="","",IFERROR(VLOOKUP($E63,códigos!$R:$R,1,FALSE),"NO"))</f>
        <v>NO</v>
      </c>
      <c r="B63" s="7">
        <f ca="1">IFERROR(__xludf.DUMMYFUNCTION("""COMPUTED_VALUE"""),3)</f>
        <v>3</v>
      </c>
      <c r="C63" s="14" t="str">
        <f ca="1">IFERROR(__xludf.DUMMYFUNCTION("""COMPUTED_VALUE"""),"Lisandro Russian")</f>
        <v>Lisandro Russian</v>
      </c>
      <c r="D63" s="7" t="str">
        <f ca="1">IFERROR(__xludf.DUMMYFUNCTION("""COMPUTED_VALUE"""),"Madrid- Juan Bravo")</f>
        <v>Madrid- Juan Bravo</v>
      </c>
      <c r="E63" s="7" t="str">
        <f ca="1">IFERROR(__xludf.DUMMYFUNCTION("""COMPUTED_VALUE"""),"LRM239")</f>
        <v>LRM239</v>
      </c>
      <c r="F63" s="7" t="str">
        <f ca="1">IFERROR(__xludf.DUMMYFUNCTION("""COMPUTED_VALUE"""),"Carlos Barajas Del Rosal")</f>
        <v>Carlos Barajas Del Rosal</v>
      </c>
      <c r="G63" s="7" t="str">
        <f ca="1">IFERROR(__xludf.DUMMYFUNCTION("""COMPUTED_VALUE"""),"COSTES DE EMPLEADA-MARZO")</f>
        <v>COSTES DE EMPLEADA-MARZO</v>
      </c>
      <c r="H63" s="15" t="str">
        <f ca="1">IFERROR(__xludf.DUMMYFUNCTION("""COMPUTED_VALUE"""),"Gastos de personal")</f>
        <v>Gastos de personal</v>
      </c>
      <c r="I63" s="16" t="str">
        <f ca="1">IFERROR(__xludf.DUMMYFUNCTION("""COMPUTED_VALUE""")," ")</f>
        <v xml:space="preserve"> </v>
      </c>
      <c r="J63" s="18"/>
      <c r="K63" s="18">
        <f ca="1">IFERROR(__xludf.DUMMYFUNCTION("""COMPUTED_VALUE"""),-1398.88)</f>
        <v>-1398.88</v>
      </c>
      <c r="L63" s="7" t="str">
        <f ca="1">IFERROR(__xludf.DUMMYFUNCTION("""COMPUTED_VALUE"""),"AUDICOST, S.L.U")</f>
        <v>AUDICOST, S.L.U</v>
      </c>
      <c r="M63" s="7"/>
      <c r="N63" s="7"/>
    </row>
    <row r="64" spans="1:14">
      <c r="A64" s="8" t="str">
        <f ca="1">IF(C64="","",IFERROR(VLOOKUP($E64,códigos!$R:$R,1,FALSE),"NO"))</f>
        <v>NO</v>
      </c>
      <c r="B64" s="7">
        <f ca="1">IFERROR(__xludf.DUMMYFUNCTION("""COMPUTED_VALUE"""),4)</f>
        <v>4</v>
      </c>
      <c r="C64" s="14" t="str">
        <f ca="1">IFERROR(__xludf.DUMMYFUNCTION("""COMPUTED_VALUE"""),"Iván Sánchez")</f>
        <v>Iván Sánchez</v>
      </c>
      <c r="D64" s="7" t="str">
        <f ca="1">IFERROR(__xludf.DUMMYFUNCTION("""COMPUTED_VALUE"""),"Orihuela")</f>
        <v>Orihuela</v>
      </c>
      <c r="E64" s="7" t="str">
        <f ca="1">IFERROR(__xludf.DUMMYFUNCTION("""COMPUTED_VALUE"""),"ISL58")</f>
        <v>ISL58</v>
      </c>
      <c r="F64" s="7" t="str">
        <f ca="1">IFERROR(__xludf.DUMMYFUNCTION("""COMPUTED_VALUE"""),"Juan Javier Álvarez López")</f>
        <v>Juan Javier Álvarez López</v>
      </c>
      <c r="G64" s="7" t="str">
        <f ca="1">IFERROR(__xludf.DUMMYFUNCTION("""COMPUTED_VALUE"""),"TV+SOPORTE")</f>
        <v>TV+SOPORTE</v>
      </c>
      <c r="H64" s="15" t="str">
        <f ca="1">IFERROR(__xludf.DUMMYFUNCTION("""COMPUTED_VALUE"""),"Material para centro")</f>
        <v>Material para centro</v>
      </c>
      <c r="I64" s="17">
        <f ca="1">IFERROR(__xludf.DUMMYFUNCTION("""COMPUTED_VALUE"""),46119)</f>
        <v>46119</v>
      </c>
      <c r="J64" s="16">
        <f ca="1">IFERROR(__xludf.DUMMYFUNCTION("""COMPUTED_VALUE"""),46118)</f>
        <v>46118</v>
      </c>
      <c r="K64" s="7">
        <f ca="1">IFERROR(__xludf.DUMMYFUNCTION("""COMPUTED_VALUE"""),-1400.42)</f>
        <v>-1400.42</v>
      </c>
      <c r="L64" s="7" t="str">
        <f ca="1">IFERROR(__xludf.DUMMYFUNCTION("""COMPUTED_VALUE"""),"AUDICOST, S.L.U")</f>
        <v>AUDICOST, S.L.U</v>
      </c>
      <c r="M64" s="7"/>
      <c r="N64" s="7"/>
    </row>
    <row r="65" spans="1:14">
      <c r="A65" s="8" t="str">
        <f ca="1">IF(C65="","",IFERROR(VLOOKUP($E65,códigos!$R:$R,1,FALSE),"NO"))</f>
        <v>NO</v>
      </c>
      <c r="B65" s="7">
        <f ca="1">IFERROR(__xludf.DUMMYFUNCTION("""COMPUTED_VALUE"""),4)</f>
        <v>4</v>
      </c>
      <c r="C65" s="14" t="str">
        <f ca="1">IFERROR(__xludf.DUMMYFUNCTION("""COMPUTED_VALUE"""),"Luis Alberto Rodríguez")</f>
        <v>Luis Alberto Rodríguez</v>
      </c>
      <c r="D65" s="7" t="str">
        <f ca="1">IFERROR(__xludf.DUMMYFUNCTION("""COMPUTED_VALUE"""),"Sevilla- Montoto")</f>
        <v>Sevilla- Montoto</v>
      </c>
      <c r="E65" s="7" t="str">
        <f ca="1">IFERROR(__xludf.DUMMYFUNCTION("""COMPUTED_VALUE"""),"LAA08")</f>
        <v>LAA08</v>
      </c>
      <c r="F65" s="7" t="str">
        <f ca="1">IFERROR(__xludf.DUMMYFUNCTION("""COMPUTED_VALUE"""),"David Castro Gutiérrez de Agüero")</f>
        <v>David Castro Gutiérrez de Agüero</v>
      </c>
      <c r="G65" s="7" t="str">
        <f ca="1">IFERROR(__xludf.DUMMYFUNCTION("""COMPUTED_VALUE"""),"PORTATIL MEDIA MARKT")</f>
        <v>PORTATIL MEDIA MARKT</v>
      </c>
      <c r="H65" s="15" t="str">
        <f ca="1">IFERROR(__xludf.DUMMYFUNCTION("""COMPUTED_VALUE"""),"Material para centro")</f>
        <v>Material para centro</v>
      </c>
      <c r="I65" s="16">
        <f ca="1">IFERROR(__xludf.DUMMYFUNCTION("""COMPUTED_VALUE"""),46120)</f>
        <v>46120</v>
      </c>
      <c r="J65" s="16">
        <f ca="1">IFERROR(__xludf.DUMMYFUNCTION("""COMPUTED_VALUE"""),46120)</f>
        <v>46120</v>
      </c>
      <c r="K65" s="7">
        <f ca="1">IFERROR(__xludf.DUMMYFUNCTION("""COMPUTED_VALUE"""),-899)</f>
        <v>-899</v>
      </c>
      <c r="L65" s="7" t="str">
        <f ca="1">IFERROR(__xludf.DUMMYFUNCTION("""COMPUTED_VALUE"""),"OIR VITAL CENTROS AUDITIVOS ")</f>
        <v>OIR VITAL CENTROS AUDITIVOS </v>
      </c>
      <c r="M65" s="7"/>
      <c r="N65" s="7"/>
    </row>
    <row r="66" spans="1:14">
      <c r="A66" s="8" t="str">
        <f ca="1">IF(C66="","",IFERROR(VLOOKUP($E66,códigos!$R:$R,1,FALSE),"NO"))</f>
        <v/>
      </c>
      <c r="B66" s="7">
        <f ca="1">IFERROR(__xludf.DUMMYFUNCTION("""COMPUTED_VALUE"""),5)</f>
        <v>5</v>
      </c>
      <c r="C66" s="14" t="str">
        <f ca="1">IFERROR(__xludf.DUMMYFUNCTION("""COMPUTED_VALUE"""),"")</f>
        <v/>
      </c>
      <c r="D66" s="7" t="str">
        <f ca="1">IFERROR(__xludf.DUMMYFUNCTION("""COMPUTED_VALUE"""),"Clínica")</f>
        <v>Clínica</v>
      </c>
      <c r="E66" s="7" t="str">
        <f ca="1">IFERROR(__xludf.DUMMYFUNCTION("""COMPUTED_VALUE"""),"")</f>
        <v/>
      </c>
      <c r="F66" s="7"/>
      <c r="G66" s="7"/>
      <c r="H66" s="15"/>
      <c r="I66" s="16"/>
      <c r="J66" s="7"/>
      <c r="K66" s="7"/>
      <c r="L66" s="7" t="str">
        <f ca="1">IFERROR(__xludf.DUMMYFUNCTION("""COMPUTED_VALUE"""),"Empresa")</f>
        <v>Empresa</v>
      </c>
      <c r="M66" s="7"/>
      <c r="N66" s="7"/>
    </row>
    <row r="67" spans="1:14">
      <c r="A67" s="8" t="str">
        <f ca="1">IF(C67="","",IFERROR(VLOOKUP($E67,códigos!$R:$R,1,FALSE),"NO"))</f>
        <v/>
      </c>
      <c r="B67" s="7">
        <f ca="1">IFERROR(__xludf.DUMMYFUNCTION("""COMPUTED_VALUE"""),6)</f>
        <v>6</v>
      </c>
      <c r="C67" s="14" t="str">
        <f ca="1">IFERROR(__xludf.DUMMYFUNCTION("""COMPUTED_VALUE"""),"")</f>
        <v/>
      </c>
      <c r="D67" s="7" t="str">
        <f ca="1">IFERROR(__xludf.DUMMYFUNCTION("""COMPUTED_VALUE"""),"Clínica")</f>
        <v>Clínica</v>
      </c>
      <c r="E67" s="7" t="str">
        <f ca="1">IFERROR(__xludf.DUMMYFUNCTION("""COMPUTED_VALUE"""),"")</f>
        <v/>
      </c>
      <c r="F67" s="7"/>
      <c r="G67" s="7"/>
      <c r="H67" s="15"/>
      <c r="I67" s="17"/>
      <c r="J67" s="7"/>
      <c r="K67" s="7"/>
      <c r="L67" s="7" t="str">
        <f ca="1">IFERROR(__xludf.DUMMYFUNCTION("""COMPUTED_VALUE"""),"Empresa")</f>
        <v>Empresa</v>
      </c>
      <c r="M67" s="7"/>
      <c r="N67" s="7"/>
    </row>
    <row r="68" spans="1:14">
      <c r="A68" s="8" t="str">
        <f ca="1">IF(C68="","",IFERROR(VLOOKUP($E68,códigos!$R:$R,1,FALSE),"NO"))</f>
        <v/>
      </c>
      <c r="B68" s="7">
        <f ca="1">IFERROR(__xludf.DUMMYFUNCTION("""COMPUTED_VALUE"""),7)</f>
        <v>7</v>
      </c>
      <c r="C68" s="14" t="str">
        <f ca="1">IFERROR(__xludf.DUMMYFUNCTION("""COMPUTED_VALUE"""),"")</f>
        <v/>
      </c>
      <c r="D68" s="7" t="str">
        <f ca="1">IFERROR(__xludf.DUMMYFUNCTION("""COMPUTED_VALUE"""),"Clínica")</f>
        <v>Clínica</v>
      </c>
      <c r="E68" s="7" t="str">
        <f ca="1">IFERROR(__xludf.DUMMYFUNCTION("""COMPUTED_VALUE"""),"")</f>
        <v/>
      </c>
      <c r="F68" s="7"/>
      <c r="G68" s="7"/>
      <c r="H68" s="15"/>
      <c r="I68" s="16"/>
      <c r="J68" s="7"/>
      <c r="K68" s="7"/>
      <c r="L68" s="7" t="str">
        <f ca="1">IFERROR(__xludf.DUMMYFUNCTION("""COMPUTED_VALUE"""),"Empresa")</f>
        <v>Empresa</v>
      </c>
      <c r="M68" s="7"/>
      <c r="N68" s="7"/>
    </row>
    <row r="69" spans="1:14">
      <c r="A69" s="8" t="str">
        <f ca="1">IF(C69="","",IFERROR(VLOOKUP($E69,códigos!$R:$R,1,FALSE),"NO"))</f>
        <v/>
      </c>
      <c r="B69" s="7">
        <f ca="1">IFERROR(__xludf.DUMMYFUNCTION("""COMPUTED_VALUE"""),8)</f>
        <v>8</v>
      </c>
      <c r="C69" s="14" t="str">
        <f ca="1">IFERROR(__xludf.DUMMYFUNCTION("""COMPUTED_VALUE"""),"")</f>
        <v/>
      </c>
      <c r="D69" s="7" t="str">
        <f ca="1">IFERROR(__xludf.DUMMYFUNCTION("""COMPUTED_VALUE"""),"Clínica")</f>
        <v>Clínica</v>
      </c>
      <c r="E69" s="7" t="str">
        <f ca="1">IFERROR(__xludf.DUMMYFUNCTION("""COMPUTED_VALUE"""),"")</f>
        <v/>
      </c>
      <c r="F69" s="7"/>
      <c r="G69" s="7"/>
      <c r="H69" s="15"/>
      <c r="I69" s="19"/>
      <c r="J69" s="7"/>
      <c r="K69" s="7"/>
      <c r="L69" s="7" t="str">
        <f ca="1">IFERROR(__xludf.DUMMYFUNCTION("""COMPUTED_VALUE"""),"Empresa")</f>
        <v>Empresa</v>
      </c>
      <c r="M69" s="7"/>
      <c r="N69" s="7"/>
    </row>
    <row r="70" spans="1:14">
      <c r="A70" s="8" t="str">
        <f ca="1">IF(C70="","",IFERROR(VLOOKUP($E70,códigos!$R:$R,1,FALSE),"NO"))</f>
        <v/>
      </c>
      <c r="B70" s="7">
        <f ca="1">IFERROR(__xludf.DUMMYFUNCTION("""COMPUTED_VALUE"""),9)</f>
        <v>9</v>
      </c>
      <c r="C70" s="14" t="str">
        <f ca="1">IFERROR(__xludf.DUMMYFUNCTION("""COMPUTED_VALUE"""),"")</f>
        <v/>
      </c>
      <c r="D70" s="7" t="str">
        <f ca="1">IFERROR(__xludf.DUMMYFUNCTION("""COMPUTED_VALUE"""),"Clínica")</f>
        <v>Clínica</v>
      </c>
      <c r="E70" s="7" t="str">
        <f ca="1">IFERROR(__xludf.DUMMYFUNCTION("""COMPUTED_VALUE"""),"")</f>
        <v/>
      </c>
      <c r="F70" s="7"/>
      <c r="G70" s="7"/>
      <c r="H70" s="15"/>
      <c r="I70" s="16"/>
      <c r="J70" s="7"/>
      <c r="K70" s="7"/>
      <c r="L70" s="7" t="str">
        <f ca="1">IFERROR(__xludf.DUMMYFUNCTION("""COMPUTED_VALUE"""),"Empresa")</f>
        <v>Empresa</v>
      </c>
      <c r="M70" s="7"/>
      <c r="N70" s="7"/>
    </row>
    <row r="71" spans="1:14">
      <c r="A71" s="8" t="str">
        <f ca="1">IF(C71="","",IFERROR(VLOOKUP($E71,códigos!$R:$R,1,FALSE),"NO"))</f>
        <v/>
      </c>
      <c r="B71" s="7">
        <f ca="1">IFERROR(__xludf.DUMMYFUNCTION("""COMPUTED_VALUE"""),10)</f>
        <v>10</v>
      </c>
      <c r="C71" s="14" t="str">
        <f ca="1">IFERROR(__xludf.DUMMYFUNCTION("""COMPUTED_VALUE"""),"")</f>
        <v/>
      </c>
      <c r="D71" s="7" t="str">
        <f ca="1">IFERROR(__xludf.DUMMYFUNCTION("""COMPUTED_VALUE"""),"Clínica")</f>
        <v>Clínica</v>
      </c>
      <c r="E71" s="7" t="str">
        <f ca="1">IFERROR(__xludf.DUMMYFUNCTION("""COMPUTED_VALUE"""),"")</f>
        <v/>
      </c>
      <c r="F71" s="7"/>
      <c r="G71" s="7"/>
      <c r="H71" s="15"/>
      <c r="I71" s="16"/>
      <c r="J71" s="7"/>
      <c r="K71" s="7"/>
      <c r="L71" s="7" t="str">
        <f ca="1">IFERROR(__xludf.DUMMYFUNCTION("""COMPUTED_VALUE"""),"Empresa")</f>
        <v>Empresa</v>
      </c>
      <c r="M71" s="7"/>
      <c r="N71" s="7"/>
    </row>
    <row r="72" spans="1:14">
      <c r="A72" s="8" t="str">
        <f ca="1">IF(C72="","",IFERROR(VLOOKUP($E72,códigos!$R:$R,1,FALSE),"NO"))</f>
        <v/>
      </c>
      <c r="B72" s="7">
        <f ca="1">IFERROR(__xludf.DUMMYFUNCTION("""COMPUTED_VALUE"""),11)</f>
        <v>11</v>
      </c>
      <c r="C72" s="14" t="str">
        <f ca="1">IFERROR(__xludf.DUMMYFUNCTION("""COMPUTED_VALUE"""),"")</f>
        <v/>
      </c>
      <c r="D72" s="7" t="str">
        <f ca="1">IFERROR(__xludf.DUMMYFUNCTION("""COMPUTED_VALUE"""),"Clínica")</f>
        <v>Clínica</v>
      </c>
      <c r="E72" s="7" t="str">
        <f ca="1">IFERROR(__xludf.DUMMYFUNCTION("""COMPUTED_VALUE"""),"")</f>
        <v/>
      </c>
      <c r="F72" s="7"/>
      <c r="G72" s="7"/>
      <c r="H72" s="15"/>
      <c r="I72" s="16"/>
      <c r="J72" s="7"/>
      <c r="K72" s="7"/>
      <c r="L72" s="7" t="str">
        <f ca="1">IFERROR(__xludf.DUMMYFUNCTION("""COMPUTED_VALUE"""),"Empresa")</f>
        <v>Empresa</v>
      </c>
      <c r="M72" s="7"/>
      <c r="N72" s="7"/>
    </row>
    <row r="73" spans="1:14">
      <c r="A73" s="8" t="str">
        <f ca="1">IF(C73="","",IFERROR(VLOOKUP($E73,códigos!$R:$R,1,FALSE),"NO"))</f>
        <v/>
      </c>
      <c r="B73" s="7">
        <f ca="1">IFERROR(__xludf.DUMMYFUNCTION("""COMPUTED_VALUE"""),12)</f>
        <v>12</v>
      </c>
      <c r="C73" s="14" t="str">
        <f ca="1">IFERROR(__xludf.DUMMYFUNCTION("""COMPUTED_VALUE"""),"")</f>
        <v/>
      </c>
      <c r="D73" s="7" t="str">
        <f ca="1">IFERROR(__xludf.DUMMYFUNCTION("""COMPUTED_VALUE"""),"Clínica")</f>
        <v>Clínica</v>
      </c>
      <c r="E73" s="7" t="str">
        <f ca="1">IFERROR(__xludf.DUMMYFUNCTION("""COMPUTED_VALUE"""),"")</f>
        <v/>
      </c>
      <c r="F73" s="7"/>
      <c r="G73" s="7"/>
      <c r="H73" s="15"/>
      <c r="I73" s="17"/>
      <c r="J73" s="7"/>
      <c r="K73" s="7"/>
      <c r="L73" s="7" t="str">
        <f ca="1">IFERROR(__xludf.DUMMYFUNCTION("""COMPUTED_VALUE"""),"Empresa")</f>
        <v>Empresa</v>
      </c>
      <c r="M73" s="7"/>
      <c r="N73" s="7"/>
    </row>
    <row r="74" spans="1:14">
      <c r="A74" s="8" t="str">
        <f>IF(C74="","",IFERROR(VLOOKUP($E74,códigos!$R:$R,1,FALSE),"NO"))</f>
        <v/>
      </c>
      <c r="B74" s="7"/>
      <c r="C74" s="14"/>
      <c r="D74" s="7"/>
      <c r="E74" s="7"/>
      <c r="F74" s="7"/>
      <c r="G74" s="7"/>
      <c r="H74" s="15"/>
      <c r="I74" s="7"/>
      <c r="J74" s="7"/>
      <c r="K74" s="7"/>
      <c r="L74" s="7"/>
      <c r="M74" s="7"/>
      <c r="N74" s="7"/>
    </row>
    <row r="75" spans="1:14">
      <c r="A75" s="8" t="str">
        <f>IF(C75="","",IFERROR(VLOOKUP($E75,códigos!$R:$R,1,FALSE),"NO"))</f>
        <v/>
      </c>
      <c r="B75" s="7"/>
      <c r="C75" s="14"/>
      <c r="D75" s="7"/>
      <c r="E75" s="7"/>
      <c r="F75" s="7"/>
      <c r="G75" s="7"/>
      <c r="H75" s="15"/>
      <c r="I75" s="7"/>
      <c r="J75" s="7"/>
      <c r="K75" s="7"/>
      <c r="L75" s="7"/>
      <c r="M75" s="7"/>
      <c r="N75" s="7"/>
    </row>
    <row r="76" spans="1:14">
      <c r="A76" s="8" t="str">
        <f>IF(C76="","",IFERROR(VLOOKUP($E76,códigos!$R:$R,1,FALSE),"NO"))</f>
        <v/>
      </c>
      <c r="B76" s="7"/>
      <c r="C76" s="14"/>
      <c r="D76" s="7"/>
      <c r="E76" s="7"/>
      <c r="F76" s="7"/>
      <c r="G76" s="7"/>
      <c r="H76" s="15"/>
      <c r="I76" s="7"/>
      <c r="J76" s="7"/>
      <c r="K76" s="7"/>
      <c r="L76" s="7"/>
      <c r="M76" s="7"/>
      <c r="N76" s="7"/>
    </row>
    <row r="77" spans="1:14">
      <c r="A77" s="8" t="str">
        <f>IF(C77="","",IFERROR(VLOOKUP($E77,códigos!$R:$R,1,FALSE),"NO"))</f>
        <v/>
      </c>
      <c r="B77" s="7"/>
      <c r="C77" s="14"/>
      <c r="D77" s="7"/>
      <c r="E77" s="7"/>
      <c r="F77" s="7"/>
      <c r="G77" s="7"/>
      <c r="H77" s="15"/>
      <c r="I77" s="7"/>
      <c r="J77" s="7"/>
      <c r="K77" s="7"/>
      <c r="L77" s="7"/>
      <c r="M77" s="7"/>
      <c r="N77" s="7"/>
    </row>
    <row r="78" spans="1:14">
      <c r="A78" s="8" t="str">
        <f>IF(C78="","",IFERROR(VLOOKUP($E78,códigos!$R:$R,1,FALSE),"NO"))</f>
        <v/>
      </c>
      <c r="B78" s="7"/>
      <c r="C78" s="14"/>
      <c r="D78" s="7"/>
      <c r="E78" s="7"/>
      <c r="F78" s="7"/>
      <c r="G78" s="7"/>
      <c r="H78" s="15"/>
      <c r="I78" s="16"/>
      <c r="J78" s="7"/>
      <c r="K78" s="7"/>
      <c r="L78" s="7"/>
      <c r="M78" s="7"/>
      <c r="N78" s="7"/>
    </row>
    <row r="79" spans="1:14">
      <c r="A79" s="8" t="str">
        <f>IF(C79="","",IFERROR(VLOOKUP($E79,códigos!$R:$R,1,FALSE),"NO"))</f>
        <v/>
      </c>
      <c r="B79" s="7"/>
      <c r="C79" s="14"/>
      <c r="D79" s="7"/>
      <c r="E79" s="7"/>
      <c r="F79" s="7"/>
      <c r="G79" s="7"/>
      <c r="H79" s="15"/>
      <c r="I79" s="7"/>
      <c r="J79" s="7"/>
      <c r="K79" s="7"/>
      <c r="L79" s="7"/>
      <c r="M79" s="7"/>
      <c r="N79" s="7"/>
    </row>
    <row r="80" spans="1:14">
      <c r="A80" s="8" t="str">
        <f>IF(C80="","",IFERROR(VLOOKUP($E80,códigos!$R:$R,1,FALSE),"NO"))</f>
        <v/>
      </c>
      <c r="B80" s="7"/>
      <c r="C80" s="14"/>
      <c r="D80" s="7"/>
      <c r="E80" s="7"/>
      <c r="F80" s="7"/>
      <c r="G80" s="7"/>
      <c r="H80" s="15"/>
      <c r="I80" s="7"/>
      <c r="J80" s="7"/>
      <c r="K80" s="7"/>
      <c r="L80" s="7"/>
      <c r="M80" s="7"/>
      <c r="N80" s="7"/>
    </row>
    <row r="81" spans="1:14">
      <c r="A81" s="8" t="str">
        <f>IF(C81="","",IFERROR(VLOOKUP($E81,códigos!$R:$R,1,FALSE),"NO"))</f>
        <v/>
      </c>
      <c r="B81" s="7"/>
      <c r="C81" s="14"/>
      <c r="D81" s="7"/>
      <c r="E81" s="7"/>
      <c r="F81" s="7"/>
      <c r="G81" s="7"/>
      <c r="H81" s="15"/>
      <c r="I81" s="7"/>
      <c r="J81" s="7"/>
      <c r="K81" s="7"/>
      <c r="L81" s="7"/>
      <c r="M81" s="7"/>
      <c r="N81" s="7"/>
    </row>
    <row r="82" spans="1:14">
      <c r="A82" s="8" t="str">
        <f>IF(C82="","",IFERROR(VLOOKUP($E82,códigos!$R:$R,1,FALSE),"NO"))</f>
        <v/>
      </c>
      <c r="B82" s="7"/>
      <c r="C82" s="14"/>
      <c r="D82" s="7"/>
      <c r="E82" s="7"/>
      <c r="F82" s="7"/>
      <c r="G82" s="7"/>
      <c r="H82" s="15"/>
      <c r="I82" s="16"/>
      <c r="J82" s="7"/>
      <c r="K82" s="7"/>
      <c r="L82" s="7"/>
      <c r="M82" s="7"/>
      <c r="N82" s="7"/>
    </row>
    <row r="83" spans="1:14">
      <c r="A83" s="8" t="str">
        <f>IF(C83="","",IFERROR(VLOOKUP($E83,códigos!$R:$R,1,FALSE),"NO"))</f>
        <v/>
      </c>
      <c r="B83" s="7"/>
      <c r="C83" s="14"/>
      <c r="D83" s="7"/>
      <c r="E83" s="7"/>
      <c r="F83" s="7"/>
      <c r="G83" s="7"/>
      <c r="H83" s="15"/>
      <c r="I83" s="7"/>
      <c r="J83" s="7"/>
      <c r="K83" s="7"/>
      <c r="L83" s="7"/>
      <c r="M83" s="7"/>
      <c r="N83" s="7"/>
    </row>
    <row r="84" spans="1:14">
      <c r="A84" s="8" t="str">
        <f>IF(C84="","",IFERROR(VLOOKUP($E84,códigos!$R:$R,1,FALSE),"NO"))</f>
        <v/>
      </c>
      <c r="B84" s="7"/>
      <c r="C84" s="14"/>
      <c r="D84" s="7"/>
      <c r="E84" s="7"/>
      <c r="F84" s="7"/>
      <c r="G84" s="7"/>
      <c r="H84" s="15"/>
      <c r="I84" s="16"/>
      <c r="J84" s="7"/>
      <c r="K84" s="7"/>
      <c r="L84" s="7"/>
      <c r="M84" s="7"/>
      <c r="N84" s="7"/>
    </row>
    <row r="85" spans="1:14">
      <c r="A85" s="8" t="str">
        <f>IF(C85="","",IFERROR(VLOOKUP($E85,códigos!$R:$R,1,FALSE),"NO"))</f>
        <v/>
      </c>
      <c r="B85" s="7"/>
      <c r="C85" s="14"/>
      <c r="D85" s="7"/>
      <c r="E85" s="7"/>
      <c r="F85" s="7"/>
      <c r="G85" s="7"/>
      <c r="H85" s="15"/>
      <c r="I85" s="16"/>
      <c r="J85" s="7"/>
      <c r="K85" s="7"/>
      <c r="L85" s="7"/>
      <c r="M85" s="7"/>
      <c r="N85" s="7"/>
    </row>
    <row r="86" spans="1:14">
      <c r="A86" s="8" t="str">
        <f>IF(C86="","",IFERROR(VLOOKUP($E86,códigos!$R:$R,1,FALSE),"NO"))</f>
        <v/>
      </c>
      <c r="B86" s="7"/>
      <c r="C86" s="14"/>
      <c r="D86" s="7"/>
      <c r="E86" s="7"/>
      <c r="F86" s="7"/>
      <c r="G86" s="7"/>
      <c r="H86" s="15"/>
      <c r="I86" s="16"/>
      <c r="J86" s="7"/>
      <c r="K86" s="7"/>
      <c r="L86" s="7"/>
      <c r="M86" s="7"/>
      <c r="N86" s="7"/>
    </row>
    <row r="87" spans="1:14">
      <c r="A87" s="8" t="str">
        <f>IF(C87="","",IFERROR(VLOOKUP($E87,códigos!$R:$R,1,FALSE),"NO"))</f>
        <v/>
      </c>
      <c r="B87" s="7"/>
      <c r="C87" s="14"/>
      <c r="D87" s="7"/>
      <c r="E87" s="7"/>
      <c r="F87" s="7"/>
      <c r="G87" s="7"/>
      <c r="H87" s="15"/>
      <c r="I87" s="16"/>
      <c r="J87" s="7"/>
      <c r="K87" s="7"/>
      <c r="L87" s="7"/>
      <c r="M87" s="7"/>
      <c r="N87" s="7"/>
    </row>
    <row r="88" spans="1:14">
      <c r="A88" s="8" t="str">
        <f>IF(C88="","",IFERROR(VLOOKUP($E88,códigos!$R:$R,1,FALSE),"NO"))</f>
        <v/>
      </c>
      <c r="B88" s="7"/>
      <c r="C88" s="14"/>
      <c r="D88" s="7"/>
      <c r="E88" s="7"/>
      <c r="F88" s="7"/>
      <c r="G88" s="7"/>
      <c r="H88" s="15"/>
      <c r="I88" s="16"/>
      <c r="J88" s="7"/>
      <c r="K88" s="7"/>
      <c r="L88" s="7"/>
      <c r="M88" s="7"/>
      <c r="N88" s="7"/>
    </row>
    <row r="89" spans="1:14">
      <c r="A89" s="8" t="str">
        <f>IF(C89="","",IFERROR(VLOOKUP($E89,códigos!$R:$R,1,FALSE),"NO"))</f>
        <v/>
      </c>
      <c r="B89" s="7"/>
      <c r="C89" s="14"/>
      <c r="D89" s="7"/>
      <c r="E89" s="7"/>
      <c r="F89" s="7"/>
      <c r="G89" s="7"/>
      <c r="H89" s="15"/>
      <c r="I89" s="16"/>
      <c r="J89" s="7"/>
      <c r="K89" s="7"/>
      <c r="L89" s="7"/>
      <c r="M89" s="7"/>
      <c r="N89" s="7"/>
    </row>
    <row r="90" spans="1:14">
      <c r="A90" s="8" t="str">
        <f>IF(C90="","",IFERROR(VLOOKUP($E90,códigos!$R:$R,1,FALSE),"NO"))</f>
        <v/>
      </c>
      <c r="B90" s="7"/>
      <c r="C90" s="14"/>
      <c r="D90" s="7"/>
      <c r="E90" s="7"/>
      <c r="F90" s="7"/>
      <c r="G90" s="7"/>
      <c r="H90" s="15"/>
      <c r="I90" s="16"/>
      <c r="J90" s="7"/>
      <c r="K90" s="7"/>
      <c r="L90" s="7"/>
      <c r="M90" s="7"/>
      <c r="N90" s="7"/>
    </row>
    <row r="91" spans="1:14">
      <c r="A91" s="8" t="str">
        <f>IF(C91="","",IFERROR(VLOOKUP($E91,códigos!$R:$R,1,FALSE),"NO"))</f>
        <v/>
      </c>
      <c r="B91" s="7"/>
      <c r="C91" s="14"/>
      <c r="D91" s="7"/>
      <c r="E91" s="7"/>
      <c r="F91" s="7"/>
      <c r="G91" s="7"/>
      <c r="H91" s="15"/>
      <c r="I91" s="16"/>
      <c r="J91" s="7"/>
      <c r="K91" s="7"/>
      <c r="L91" s="7"/>
      <c r="M91" s="7"/>
      <c r="N91" s="7"/>
    </row>
    <row r="92" spans="1:14">
      <c r="A92" s="8" t="str">
        <f>IF(C92="","",IFERROR(VLOOKUP($E92,códigos!$R:$R,1,FALSE),"NO"))</f>
        <v/>
      </c>
      <c r="B92" s="7"/>
      <c r="C92" s="14"/>
      <c r="D92" s="7"/>
      <c r="E92" s="7"/>
      <c r="F92" s="7"/>
      <c r="G92" s="7"/>
      <c r="H92" s="15"/>
      <c r="I92" s="16"/>
      <c r="J92" s="7"/>
      <c r="K92" s="7"/>
      <c r="L92" s="7"/>
      <c r="M92" s="7"/>
      <c r="N92" s="7"/>
    </row>
    <row r="93" spans="1:14">
      <c r="A93" s="8" t="str">
        <f>IF(C93="","",IFERROR(VLOOKUP($E93,códigos!$R:$R,1,FALSE),"NO"))</f>
        <v/>
      </c>
      <c r="B93" s="7"/>
      <c r="C93" s="14"/>
      <c r="D93" s="7"/>
      <c r="E93" s="7"/>
      <c r="F93" s="7"/>
      <c r="G93" s="7"/>
      <c r="H93" s="15"/>
      <c r="I93" s="7"/>
      <c r="J93" s="7"/>
      <c r="K93" s="7"/>
      <c r="L93" s="7"/>
      <c r="M93" s="7"/>
      <c r="N93" s="7"/>
    </row>
    <row r="94" spans="1:14">
      <c r="A94" s="8" t="str">
        <f>IF(C94="","",IFERROR(VLOOKUP($E94,códigos!$R:$R,1,FALSE),"NO"))</f>
        <v/>
      </c>
      <c r="B94" s="7"/>
      <c r="C94" s="14"/>
      <c r="D94" s="7"/>
      <c r="E94" s="7"/>
      <c r="F94" s="7"/>
      <c r="G94" s="7"/>
      <c r="H94" s="15"/>
      <c r="I94" s="16"/>
      <c r="J94" s="7"/>
      <c r="K94" s="7"/>
      <c r="L94" s="7"/>
      <c r="M94" s="7"/>
      <c r="N94" s="7"/>
    </row>
    <row r="95" spans="1:14">
      <c r="A95" s="8" t="str">
        <f>IF(C95="","",IFERROR(VLOOKUP($E95,códigos!$R:$R,1,FALSE),"NO"))</f>
        <v/>
      </c>
      <c r="B95" s="7"/>
      <c r="C95" s="14"/>
      <c r="D95" s="7"/>
      <c r="E95" s="7"/>
      <c r="F95" s="7"/>
      <c r="G95" s="7"/>
      <c r="H95" s="15"/>
      <c r="I95" s="7"/>
      <c r="J95" s="7"/>
      <c r="K95" s="7"/>
      <c r="L95" s="7"/>
      <c r="M95" s="7"/>
      <c r="N95" s="7"/>
    </row>
    <row r="96" spans="1:14">
      <c r="A96" s="8" t="str">
        <f>IF(C96="","",IFERROR(VLOOKUP($E96,códigos!$R:$R,1,FALSE),"NO"))</f>
        <v/>
      </c>
      <c r="B96" s="7"/>
      <c r="C96" s="14"/>
      <c r="D96" s="7"/>
      <c r="E96" s="7"/>
      <c r="F96" s="7"/>
      <c r="G96" s="7"/>
      <c r="H96" s="15"/>
      <c r="I96" s="7"/>
      <c r="J96" s="7"/>
      <c r="K96" s="7"/>
      <c r="L96" s="7"/>
      <c r="M96" s="7"/>
      <c r="N96" s="7"/>
    </row>
    <row r="97" spans="1:14">
      <c r="A97" s="8" t="str">
        <f>IF(C97="","",IFERROR(VLOOKUP($E97,códigos!$R:$R,1,FALSE),"NO"))</f>
        <v/>
      </c>
      <c r="B97" s="7"/>
      <c r="C97" s="14"/>
      <c r="D97" s="7"/>
      <c r="E97" s="7"/>
      <c r="F97" s="7"/>
      <c r="G97" s="7"/>
      <c r="H97" s="15"/>
      <c r="I97" s="16"/>
      <c r="J97" s="7"/>
      <c r="K97" s="7"/>
      <c r="L97" s="7"/>
      <c r="M97" s="7"/>
      <c r="N97" s="7"/>
    </row>
    <row r="98" spans="1:14">
      <c r="A98" s="8" t="str">
        <f>IF(C98="","",IFERROR(VLOOKUP($E98,códigos!$R:$R,1,FALSE),"NO"))</f>
        <v/>
      </c>
      <c r="B98" s="7"/>
      <c r="C98" s="14"/>
      <c r="D98" s="7"/>
      <c r="E98" s="7"/>
      <c r="F98" s="7"/>
      <c r="G98" s="7"/>
      <c r="H98" s="15"/>
      <c r="I98" s="16"/>
      <c r="J98" s="7"/>
      <c r="K98" s="7"/>
      <c r="L98" s="7"/>
      <c r="M98" s="7"/>
      <c r="N98" s="7"/>
    </row>
    <row r="99" spans="1:14">
      <c r="A99" s="8" t="str">
        <f>IF(C99="","",IFERROR(VLOOKUP($E99,códigos!$R:$R,1,FALSE),"NO"))</f>
        <v/>
      </c>
      <c r="B99" s="7"/>
      <c r="C99" s="14"/>
      <c r="D99" s="7"/>
      <c r="E99" s="7"/>
      <c r="F99" s="7"/>
      <c r="G99" s="7"/>
      <c r="H99" s="15"/>
      <c r="I99" s="7"/>
      <c r="J99" s="7"/>
      <c r="K99" s="7"/>
      <c r="L99" s="7"/>
      <c r="M99" s="7"/>
      <c r="N99" s="7"/>
    </row>
    <row r="100" spans="1:14">
      <c r="A100" s="8" t="str">
        <f>IF(C100="","",IFERROR(VLOOKUP($E100,códigos!$R:$R,1,FALSE),"NO"))</f>
        <v/>
      </c>
      <c r="B100" s="7"/>
      <c r="C100" s="14"/>
      <c r="D100" s="7"/>
      <c r="E100" s="7"/>
      <c r="F100" s="7"/>
      <c r="G100" s="7"/>
      <c r="H100" s="15"/>
      <c r="I100" s="7"/>
      <c r="J100" s="7"/>
      <c r="K100" s="7"/>
      <c r="L100" s="7"/>
      <c r="M100" s="7"/>
      <c r="N100" s="7"/>
    </row>
    <row r="101" spans="1:14">
      <c r="A101" s="8" t="str">
        <f>IF(C101="","",IFERROR(VLOOKUP($E101,códigos!$R:$R,1,FALSE),"NO"))</f>
        <v/>
      </c>
      <c r="B101" s="7"/>
      <c r="C101" s="14"/>
      <c r="D101" s="7"/>
      <c r="E101" s="7"/>
      <c r="F101" s="7"/>
      <c r="G101" s="7"/>
      <c r="H101" s="15"/>
      <c r="I101" s="7"/>
      <c r="J101" s="7"/>
      <c r="K101" s="7"/>
      <c r="L101" s="7"/>
      <c r="M101" s="7"/>
      <c r="N101" s="7"/>
    </row>
    <row r="102" spans="1:14">
      <c r="A102" s="8" t="str">
        <f>IF(C102="","",IFERROR(VLOOKUP($E102,códigos!$R:$R,1,FALSE),"NO"))</f>
        <v/>
      </c>
      <c r="B102" s="7"/>
      <c r="C102" s="14"/>
      <c r="D102" s="7"/>
      <c r="E102" s="7"/>
      <c r="F102" s="7"/>
      <c r="G102" s="7"/>
      <c r="H102" s="15"/>
      <c r="I102" s="16"/>
      <c r="J102" s="7"/>
      <c r="K102" s="7"/>
      <c r="L102" s="7"/>
      <c r="M102" s="7"/>
      <c r="N102" s="7"/>
    </row>
    <row r="103" spans="1:14">
      <c r="A103" s="8" t="str">
        <f>IF(C103="","",IFERROR(VLOOKUP($E103,códigos!$R:$R,1,FALSE),"NO"))</f>
        <v/>
      </c>
      <c r="B103" s="7"/>
      <c r="C103" s="14"/>
      <c r="D103" s="7"/>
      <c r="E103" s="7"/>
      <c r="F103" s="7"/>
      <c r="G103" s="7"/>
      <c r="H103" s="15"/>
      <c r="I103" s="16"/>
      <c r="J103" s="7"/>
      <c r="K103" s="7"/>
      <c r="L103" s="7"/>
      <c r="M103" s="7"/>
      <c r="N103" s="7"/>
    </row>
    <row r="104" spans="1:14">
      <c r="A104" s="8" t="str">
        <f>IF(C104="","",IFERROR(VLOOKUP($E104,códigos!$R:$R,1,FALSE),"NO"))</f>
        <v/>
      </c>
      <c r="B104" s="7"/>
      <c r="C104" s="14"/>
      <c r="D104" s="7"/>
      <c r="E104" s="7"/>
      <c r="F104" s="7"/>
      <c r="G104" s="7"/>
      <c r="H104" s="15"/>
      <c r="I104" s="16"/>
      <c r="J104" s="7"/>
      <c r="K104" s="7"/>
      <c r="L104" s="7"/>
      <c r="M104" s="7"/>
      <c r="N104" s="7"/>
    </row>
    <row r="105" spans="1:14">
      <c r="A105" s="8" t="str">
        <f>IF(C105="","",IFERROR(VLOOKUP($E105,códigos!$R:$R,1,FALSE),"NO"))</f>
        <v/>
      </c>
      <c r="B105" s="7"/>
      <c r="C105" s="14"/>
      <c r="D105" s="7"/>
      <c r="E105" s="7"/>
      <c r="F105" s="7"/>
      <c r="G105" s="7"/>
      <c r="H105" s="15"/>
      <c r="I105" s="16"/>
      <c r="J105" s="7"/>
      <c r="K105" s="7"/>
      <c r="L105" s="7"/>
      <c r="M105" s="7"/>
      <c r="N105" s="7"/>
    </row>
    <row r="106" spans="1:14">
      <c r="A106" s="8" t="str">
        <f>IF(C106="","",IFERROR(VLOOKUP($E106,códigos!$R:$R,1,FALSE),"NO"))</f>
        <v/>
      </c>
      <c r="B106" s="7"/>
      <c r="C106" s="14"/>
      <c r="D106" s="7"/>
      <c r="E106" s="7"/>
      <c r="F106" s="7"/>
      <c r="G106" s="7"/>
      <c r="H106" s="15"/>
      <c r="I106" s="16"/>
      <c r="J106" s="7"/>
      <c r="K106" s="7"/>
      <c r="L106" s="7"/>
      <c r="M106" s="7"/>
      <c r="N106" s="7"/>
    </row>
    <row r="107" spans="1:14">
      <c r="A107" s="8" t="str">
        <f>IF(C107="","",IFERROR(VLOOKUP($E107,códigos!$R:$R,1,FALSE),"NO"))</f>
        <v/>
      </c>
      <c r="B107" s="7"/>
      <c r="C107" s="14"/>
      <c r="D107" s="7"/>
      <c r="E107" s="7"/>
      <c r="F107" s="7"/>
      <c r="G107" s="7"/>
      <c r="H107" s="15"/>
      <c r="I107" s="16"/>
      <c r="J107" s="7"/>
      <c r="K107" s="7"/>
      <c r="L107" s="7"/>
      <c r="M107" s="7"/>
      <c r="N107" s="7"/>
    </row>
    <row r="108" spans="1:14">
      <c r="A108" s="8" t="str">
        <f>IF(C108="","",IFERROR(VLOOKUP($E108,códigos!$R:$R,1,FALSE),"NO"))</f>
        <v/>
      </c>
      <c r="B108" s="7"/>
      <c r="C108" s="14"/>
      <c r="D108" s="7"/>
      <c r="E108" s="7"/>
      <c r="F108" s="7"/>
      <c r="G108" s="7"/>
      <c r="H108" s="15"/>
      <c r="I108" s="16"/>
      <c r="J108" s="7"/>
      <c r="K108" s="7"/>
      <c r="L108" s="7"/>
      <c r="M108" s="7"/>
      <c r="N108" s="7"/>
    </row>
    <row r="109" spans="1:14">
      <c r="A109" s="8" t="str">
        <f>IF(C109="","",IFERROR(VLOOKUP($E109,códigos!$R:$R,1,FALSE),"NO"))</f>
        <v/>
      </c>
      <c r="B109" s="7"/>
      <c r="C109" s="14"/>
      <c r="D109" s="7"/>
      <c r="E109" s="7"/>
      <c r="F109" s="7"/>
      <c r="G109" s="7"/>
      <c r="H109" s="15"/>
      <c r="I109" s="16"/>
      <c r="J109" s="7"/>
      <c r="K109" s="7"/>
      <c r="L109" s="7"/>
      <c r="M109" s="7"/>
      <c r="N109" s="7"/>
    </row>
    <row r="110" spans="1:14">
      <c r="A110" s="8" t="str">
        <f>IF(C110="","",IFERROR(VLOOKUP($E110,códigos!$R:$R,1,FALSE),"NO"))</f>
        <v/>
      </c>
      <c r="B110" s="7"/>
      <c r="C110" s="14"/>
      <c r="D110" s="7"/>
      <c r="E110" s="7"/>
      <c r="F110" s="7"/>
      <c r="G110" s="7"/>
      <c r="H110" s="15"/>
      <c r="I110" s="16"/>
      <c r="J110" s="7"/>
      <c r="K110" s="7"/>
      <c r="L110" s="7"/>
      <c r="M110" s="7"/>
      <c r="N110" s="7"/>
    </row>
    <row r="111" spans="1:14">
      <c r="A111" s="8" t="str">
        <f>IF(C111="","",IFERROR(VLOOKUP($E111,códigos!$R:$R,1,FALSE),"NO"))</f>
        <v/>
      </c>
      <c r="B111" s="7"/>
      <c r="C111" s="14"/>
      <c r="D111" s="7"/>
      <c r="E111" s="7"/>
      <c r="F111" s="7"/>
      <c r="G111" s="7"/>
      <c r="H111" s="15"/>
      <c r="I111" s="16"/>
      <c r="J111" s="7"/>
      <c r="K111" s="7"/>
      <c r="L111" s="7"/>
      <c r="M111" s="7"/>
      <c r="N111" s="7"/>
    </row>
    <row r="112" spans="1:14">
      <c r="A112" s="8" t="str">
        <f>IF(C112="","",IFERROR(VLOOKUP($E112,códigos!$R:$R,1,FALSE),"NO"))</f>
        <v/>
      </c>
      <c r="B112" s="7"/>
      <c r="C112" s="14"/>
      <c r="D112" s="7"/>
      <c r="E112" s="7"/>
      <c r="F112" s="7"/>
      <c r="G112" s="7"/>
      <c r="H112" s="15"/>
      <c r="I112" s="16"/>
      <c r="J112" s="7"/>
      <c r="K112" s="7"/>
      <c r="L112" s="7"/>
      <c r="M112" s="7"/>
      <c r="N112" s="7"/>
    </row>
    <row r="113" spans="1:14">
      <c r="A113" s="8" t="str">
        <f>IF(C113="","",IFERROR(VLOOKUP($E113,códigos!$R:$R,1,FALSE),"NO"))</f>
        <v/>
      </c>
      <c r="B113" s="7"/>
      <c r="C113" s="14"/>
      <c r="D113" s="7"/>
      <c r="E113" s="7"/>
      <c r="F113" s="7"/>
      <c r="G113" s="7"/>
      <c r="H113" s="15"/>
      <c r="I113" s="16"/>
      <c r="J113" s="7"/>
      <c r="K113" s="7"/>
      <c r="L113" s="7"/>
      <c r="M113" s="7"/>
      <c r="N113" s="7"/>
    </row>
    <row r="114" spans="1:14">
      <c r="A114" s="8" t="str">
        <f>IF(C114="","",IFERROR(VLOOKUP($E114,códigos!$R:$R,1,FALSE),"NO"))</f>
        <v/>
      </c>
      <c r="B114" s="7"/>
      <c r="C114" s="14"/>
      <c r="D114" s="7"/>
      <c r="E114" s="7"/>
      <c r="F114" s="7"/>
      <c r="G114" s="7"/>
      <c r="H114" s="15"/>
      <c r="I114" s="16"/>
      <c r="J114" s="7"/>
      <c r="K114" s="7"/>
      <c r="L114" s="7"/>
      <c r="M114" s="7"/>
      <c r="N114" s="7"/>
    </row>
    <row r="115" spans="1:14">
      <c r="A115" s="8" t="str">
        <f>IF(C115="","",IFERROR(VLOOKUP($E115,códigos!$R:$R,1,FALSE),"NO"))</f>
        <v/>
      </c>
      <c r="B115" s="7"/>
      <c r="C115" s="14"/>
      <c r="D115" s="7"/>
      <c r="E115" s="7"/>
      <c r="F115" s="7"/>
      <c r="G115" s="7"/>
      <c r="H115" s="15"/>
      <c r="I115" s="16"/>
      <c r="J115" s="7"/>
      <c r="K115" s="7"/>
      <c r="L115" s="7"/>
      <c r="M115" s="7"/>
      <c r="N115" s="7"/>
    </row>
    <row r="116" spans="1:14">
      <c r="A116" s="8" t="str">
        <f>IF(C116="","",IFERROR(VLOOKUP($E116,códigos!$R:$R,1,FALSE),"NO"))</f>
        <v/>
      </c>
      <c r="B116" s="7"/>
      <c r="C116" s="14"/>
      <c r="D116" s="7"/>
      <c r="E116" s="7"/>
      <c r="F116" s="7"/>
      <c r="G116" s="7"/>
      <c r="H116" s="15"/>
      <c r="I116" s="7"/>
      <c r="J116" s="7"/>
      <c r="K116" s="7"/>
      <c r="L116" s="7"/>
      <c r="M116" s="7"/>
      <c r="N116" s="7"/>
    </row>
    <row r="117" spans="1:14">
      <c r="A117" s="8" t="str">
        <f>IF(C117="","",IFERROR(VLOOKUP($E117,códigos!$R:$R,1,FALSE),"NO"))</f>
        <v/>
      </c>
      <c r="B117" s="7"/>
      <c r="C117" s="14"/>
      <c r="D117" s="7"/>
      <c r="E117" s="7"/>
      <c r="F117" s="7"/>
      <c r="G117" s="7"/>
      <c r="H117" s="15"/>
      <c r="I117" s="16"/>
      <c r="J117" s="7"/>
      <c r="K117" s="7"/>
      <c r="L117" s="7"/>
      <c r="M117" s="7"/>
      <c r="N117" s="7"/>
    </row>
    <row r="118" spans="1:14">
      <c r="A118" s="8" t="str">
        <f>IF(C118="","",IFERROR(VLOOKUP($E118,códigos!$R:$R,1,FALSE),"NO"))</f>
        <v/>
      </c>
      <c r="B118" s="7"/>
      <c r="C118" s="14"/>
      <c r="D118" s="7"/>
      <c r="E118" s="7"/>
      <c r="F118" s="7"/>
      <c r="G118" s="7"/>
      <c r="H118" s="15"/>
      <c r="I118" s="16"/>
      <c r="J118" s="7"/>
      <c r="K118" s="7"/>
      <c r="L118" s="7"/>
      <c r="M118" s="7"/>
      <c r="N118" s="7"/>
    </row>
    <row r="119" spans="1:14">
      <c r="A119" s="8" t="str">
        <f>IF(C119="","",IFERROR(VLOOKUP($E119,códigos!$R:$R,1,FALSE),"NO"))</f>
        <v/>
      </c>
      <c r="B119" s="7"/>
      <c r="C119" s="14"/>
      <c r="D119" s="7"/>
      <c r="E119" s="7"/>
      <c r="F119" s="7"/>
      <c r="G119" s="7"/>
      <c r="H119" s="15"/>
      <c r="I119" s="16"/>
      <c r="J119" s="7"/>
      <c r="K119" s="7"/>
      <c r="L119" s="7"/>
      <c r="M119" s="7"/>
      <c r="N119" s="7"/>
    </row>
    <row r="120" spans="1:14">
      <c r="A120" s="8" t="str">
        <f>IF(C120="","",IFERROR(VLOOKUP($E120,códigos!$R:$R,1,FALSE),"NO"))</f>
        <v/>
      </c>
      <c r="B120" s="7"/>
      <c r="C120" s="14"/>
      <c r="D120" s="7"/>
      <c r="E120" s="7"/>
      <c r="F120" s="7"/>
      <c r="G120" s="7"/>
      <c r="H120" s="15"/>
      <c r="I120" s="16"/>
      <c r="J120" s="7"/>
      <c r="K120" s="7"/>
      <c r="L120" s="7"/>
      <c r="M120" s="7"/>
      <c r="N120" s="7"/>
    </row>
    <row r="121" spans="1:14">
      <c r="A121" s="8" t="str">
        <f>IF(C121="","",IFERROR(VLOOKUP($E121,códigos!$R:$R,1,FALSE),"NO"))</f>
        <v/>
      </c>
      <c r="B121" s="7"/>
      <c r="C121" s="14"/>
      <c r="D121" s="7"/>
      <c r="E121" s="7"/>
      <c r="F121" s="7"/>
      <c r="G121" s="7"/>
      <c r="H121" s="15"/>
      <c r="I121" s="16"/>
      <c r="J121" s="7"/>
      <c r="K121" s="7"/>
      <c r="L121" s="7"/>
      <c r="M121" s="7"/>
      <c r="N121" s="7"/>
    </row>
    <row r="122" spans="1:14">
      <c r="A122" s="8" t="str">
        <f>IF(C122="","",IFERROR(VLOOKUP($E122,códigos!$R:$R,1,FALSE),"NO"))</f>
        <v/>
      </c>
      <c r="B122" s="7"/>
      <c r="C122" s="14"/>
      <c r="D122" s="7"/>
      <c r="E122" s="7"/>
      <c r="F122" s="7"/>
      <c r="G122" s="7"/>
      <c r="H122" s="15"/>
      <c r="I122" s="16"/>
      <c r="J122" s="7"/>
      <c r="K122" s="7"/>
      <c r="L122" s="7"/>
      <c r="M122" s="7"/>
      <c r="N122" s="7"/>
    </row>
    <row r="123" spans="1:14">
      <c r="A123" s="8" t="str">
        <f>IF(C123="","",IFERROR(VLOOKUP($E123,códigos!$R:$R,1,FALSE),"NO"))</f>
        <v/>
      </c>
      <c r="B123" s="7"/>
      <c r="C123" s="14"/>
      <c r="D123" s="7"/>
      <c r="E123" s="7"/>
      <c r="F123" s="7"/>
      <c r="G123" s="7"/>
      <c r="H123" s="15"/>
      <c r="I123" s="16"/>
      <c r="J123" s="7"/>
      <c r="K123" s="7"/>
      <c r="L123" s="7"/>
      <c r="M123" s="7"/>
      <c r="N123" s="7"/>
    </row>
    <row r="124" spans="1:14">
      <c r="A124" s="8" t="str">
        <f>IF(C124="","",IFERROR(VLOOKUP($E124,códigos!$R:$R,1,FALSE),"NO"))</f>
        <v/>
      </c>
      <c r="B124" s="7"/>
      <c r="C124" s="14"/>
      <c r="D124" s="7"/>
      <c r="E124" s="7"/>
      <c r="F124" s="7"/>
      <c r="G124" s="7"/>
      <c r="H124" s="15"/>
      <c r="I124" s="16"/>
      <c r="J124" s="7"/>
      <c r="K124" s="7"/>
      <c r="L124" s="7"/>
      <c r="M124" s="7"/>
      <c r="N124" s="7"/>
    </row>
    <row r="125" spans="1:14">
      <c r="A125" s="8" t="str">
        <f>IF(C125="","",IFERROR(VLOOKUP($E125,códigos!$R:$R,1,FALSE),"NO"))</f>
        <v/>
      </c>
      <c r="B125" s="7"/>
      <c r="C125" s="14"/>
      <c r="D125" s="7"/>
      <c r="E125" s="7"/>
      <c r="F125" s="7"/>
      <c r="G125" s="7"/>
      <c r="H125" s="15"/>
      <c r="I125" s="16"/>
      <c r="J125" s="20"/>
      <c r="K125" s="20"/>
      <c r="L125" s="7"/>
      <c r="M125" s="7"/>
      <c r="N125" s="7"/>
    </row>
    <row r="126" spans="1:14">
      <c r="A126" s="8" t="str">
        <f>IF(C126="","",IFERROR(VLOOKUP($E126,códigos!$R:$R,1,FALSE),"NO"))</f>
        <v/>
      </c>
      <c r="B126" s="7"/>
      <c r="C126" s="14"/>
      <c r="D126" s="7"/>
      <c r="E126" s="7"/>
      <c r="F126" s="7"/>
      <c r="G126" s="7"/>
      <c r="H126" s="15"/>
      <c r="I126" s="16"/>
      <c r="J126" s="7"/>
      <c r="K126" s="7"/>
      <c r="L126" s="7"/>
      <c r="M126" s="7"/>
      <c r="N126" s="7"/>
    </row>
    <row r="127" spans="1:14">
      <c r="A127" s="8" t="str">
        <f>IF(C127="","",IFERROR(VLOOKUP($E127,códigos!$R:$R,1,FALSE),"NO"))</f>
        <v/>
      </c>
      <c r="B127" s="7"/>
      <c r="C127" s="14"/>
      <c r="D127" s="7"/>
      <c r="E127" s="7"/>
      <c r="F127" s="7"/>
      <c r="G127" s="7"/>
      <c r="H127" s="15"/>
      <c r="I127" s="16"/>
      <c r="J127" s="7"/>
      <c r="K127" s="7"/>
      <c r="L127" s="7"/>
      <c r="M127" s="7"/>
      <c r="N127" s="7"/>
    </row>
    <row r="128" spans="1:14">
      <c r="A128" s="8" t="str">
        <f>IF(C128="","",IFERROR(VLOOKUP($E128,códigos!$R:$R,1,FALSE),"NO"))</f>
        <v/>
      </c>
      <c r="B128" s="7"/>
      <c r="C128" s="14"/>
      <c r="D128" s="7"/>
      <c r="E128" s="7"/>
      <c r="F128" s="7"/>
      <c r="G128" s="7"/>
      <c r="H128" s="15"/>
      <c r="I128" s="16"/>
      <c r="J128" s="7"/>
      <c r="K128" s="7"/>
      <c r="L128" s="7"/>
      <c r="M128" s="7"/>
      <c r="N128" s="7"/>
    </row>
    <row r="129" spans="1:14">
      <c r="A129" s="8" t="str">
        <f>IF(C129="","",IFERROR(VLOOKUP($E129,códigos!$R:$R,1,FALSE),"NO"))</f>
        <v/>
      </c>
      <c r="B129" s="7"/>
      <c r="C129" s="14"/>
      <c r="D129" s="7"/>
      <c r="E129" s="7"/>
      <c r="F129" s="7"/>
      <c r="G129" s="7"/>
      <c r="H129" s="15"/>
      <c r="I129" s="16"/>
      <c r="J129" s="7"/>
      <c r="K129" s="7"/>
      <c r="L129" s="7"/>
      <c r="M129" s="7"/>
      <c r="N129" s="7"/>
    </row>
    <row r="130" spans="1:14">
      <c r="A130" s="8" t="str">
        <f>IF(C130="","",IFERROR(VLOOKUP($E130,códigos!$R:$R,1,FALSE),"NO"))</f>
        <v/>
      </c>
      <c r="B130" s="7"/>
      <c r="C130" s="14"/>
      <c r="D130" s="7"/>
      <c r="E130" s="7"/>
      <c r="F130" s="7"/>
      <c r="G130" s="7"/>
      <c r="H130" s="15"/>
      <c r="I130" s="16"/>
      <c r="J130" s="7"/>
      <c r="K130" s="7"/>
      <c r="L130" s="7"/>
      <c r="M130" s="7"/>
      <c r="N130" s="7"/>
    </row>
    <row r="131" spans="1:14">
      <c r="A131" s="8" t="str">
        <f>IF(C131="","",IFERROR(VLOOKUP($E131,códigos!$R:$R,1,FALSE),"NO"))</f>
        <v/>
      </c>
      <c r="B131" s="7"/>
      <c r="C131" s="14"/>
      <c r="D131" s="7"/>
      <c r="E131" s="7"/>
      <c r="F131" s="7"/>
      <c r="G131" s="7"/>
      <c r="H131" s="15"/>
      <c r="I131" s="16"/>
      <c r="J131" s="7"/>
      <c r="K131" s="7"/>
      <c r="L131" s="7"/>
      <c r="M131" s="7"/>
      <c r="N131" s="7"/>
    </row>
    <row r="132" spans="1:14">
      <c r="A132" s="8" t="str">
        <f>IF(C132="","",IFERROR(VLOOKUP($E132,códigos!$R:$R,1,FALSE),"NO"))</f>
        <v/>
      </c>
      <c r="B132" s="7"/>
      <c r="C132" s="14"/>
      <c r="D132" s="7"/>
      <c r="E132" s="7"/>
      <c r="F132" s="7"/>
      <c r="G132" s="7"/>
      <c r="H132" s="15"/>
      <c r="I132" s="16"/>
      <c r="J132" s="7"/>
      <c r="K132" s="7"/>
      <c r="L132" s="7"/>
      <c r="M132" s="7"/>
      <c r="N132" s="7"/>
    </row>
    <row r="133" spans="1:14">
      <c r="A133" s="8" t="str">
        <f>IF(C133="","",IFERROR(VLOOKUP($E133,códigos!$R:$R,1,FALSE),"NO"))</f>
        <v/>
      </c>
      <c r="B133" s="7"/>
      <c r="C133" s="14"/>
      <c r="D133" s="7"/>
      <c r="E133" s="7"/>
      <c r="F133" s="7"/>
      <c r="G133" s="7"/>
      <c r="H133" s="15"/>
      <c r="I133" s="16"/>
      <c r="J133" s="7"/>
      <c r="K133" s="7"/>
      <c r="L133" s="7"/>
      <c r="M133" s="7"/>
      <c r="N133" s="7"/>
    </row>
    <row r="134" spans="1:14">
      <c r="A134" s="8" t="str">
        <f>IF(C134="","",IFERROR(VLOOKUP($E134,códigos!$R:$R,1,FALSE),"NO"))</f>
        <v/>
      </c>
      <c r="B134" s="7"/>
      <c r="C134" s="14"/>
      <c r="D134" s="7"/>
      <c r="E134" s="7"/>
      <c r="F134" s="7"/>
      <c r="G134" s="7"/>
      <c r="H134" s="15"/>
      <c r="I134" s="7"/>
      <c r="J134" s="7"/>
      <c r="K134" s="7"/>
      <c r="L134" s="7"/>
      <c r="M134" s="7"/>
      <c r="N134" s="7"/>
    </row>
    <row r="135" spans="1:14">
      <c r="A135" s="8" t="str">
        <f>IF(C135="","",IFERROR(VLOOKUP($E135,códigos!$R:$R,1,FALSE),"NO"))</f>
        <v/>
      </c>
      <c r="B135" s="7"/>
      <c r="C135" s="14"/>
      <c r="D135" s="7"/>
      <c r="E135" s="7"/>
      <c r="F135" s="7"/>
      <c r="G135" s="7"/>
      <c r="H135" s="15"/>
      <c r="I135" s="16"/>
      <c r="J135" s="7"/>
      <c r="K135" s="7"/>
      <c r="L135" s="7"/>
      <c r="M135" s="7"/>
      <c r="N135" s="7"/>
    </row>
    <row r="136" spans="1:14">
      <c r="A136" s="8" t="str">
        <f>IF(C136="","",IFERROR(VLOOKUP($E136,códigos!$R:$R,1,FALSE),"NO"))</f>
        <v/>
      </c>
      <c r="B136" s="7"/>
      <c r="C136" s="14"/>
      <c r="D136" s="7"/>
      <c r="E136" s="7"/>
      <c r="F136" s="7"/>
      <c r="G136" s="7"/>
      <c r="H136" s="15"/>
      <c r="I136" s="7"/>
      <c r="J136" s="7"/>
      <c r="K136" s="7"/>
      <c r="L136" s="7"/>
      <c r="M136" s="7"/>
      <c r="N136" s="7"/>
    </row>
    <row r="137" spans="1:14">
      <c r="A137" s="8" t="str">
        <f>IF(C137="","",IFERROR(VLOOKUP($E137,códigos!$R:$R,1,FALSE),"NO"))</f>
        <v/>
      </c>
      <c r="B137" s="7"/>
      <c r="C137" s="14"/>
      <c r="D137" s="7"/>
      <c r="E137" s="7"/>
      <c r="F137" s="7"/>
      <c r="G137" s="7"/>
      <c r="H137" s="15"/>
      <c r="I137" s="16"/>
      <c r="J137" s="7"/>
      <c r="K137" s="7"/>
      <c r="L137" s="7"/>
      <c r="M137" s="7"/>
      <c r="N137" s="7"/>
    </row>
    <row r="138" spans="1:14">
      <c r="A138" s="8" t="str">
        <f>IF(C138="","",IFERROR(VLOOKUP($E138,códigos!$R:$R,1,FALSE),"NO"))</f>
        <v/>
      </c>
      <c r="B138" s="7"/>
      <c r="C138" s="14"/>
      <c r="D138" s="7"/>
      <c r="E138" s="7"/>
      <c r="F138" s="7"/>
      <c r="G138" s="7"/>
      <c r="H138" s="15"/>
      <c r="I138" s="7"/>
      <c r="J138" s="7"/>
      <c r="K138" s="7"/>
      <c r="L138" s="7"/>
      <c r="M138" s="7"/>
      <c r="N138" s="7"/>
    </row>
    <row r="139" spans="1:14">
      <c r="A139" s="8" t="str">
        <f>IF(C139="","",IFERROR(VLOOKUP($E139,códigos!$R:$R,1,FALSE),"NO"))</f>
        <v/>
      </c>
      <c r="B139" s="7"/>
      <c r="C139" s="14"/>
      <c r="D139" s="7"/>
      <c r="E139" s="7"/>
      <c r="F139" s="7"/>
      <c r="G139" s="7"/>
      <c r="H139" s="15"/>
      <c r="I139" s="16"/>
      <c r="J139" s="7"/>
      <c r="K139" s="7"/>
      <c r="L139" s="7"/>
      <c r="M139" s="7"/>
      <c r="N139" s="7"/>
    </row>
    <row r="140" spans="1:14">
      <c r="A140" s="8" t="str">
        <f>IF(C140="","",IFERROR(VLOOKUP($E140,códigos!$R:$R,1,FALSE),"NO"))</f>
        <v/>
      </c>
      <c r="B140" s="7"/>
      <c r="C140" s="14"/>
      <c r="D140" s="7"/>
      <c r="E140" s="7"/>
      <c r="F140" s="7"/>
      <c r="G140" s="7"/>
      <c r="H140" s="15"/>
      <c r="I140" s="7"/>
      <c r="J140" s="7"/>
      <c r="K140" s="7"/>
      <c r="L140" s="7"/>
      <c r="M140" s="7"/>
      <c r="N140" s="7"/>
    </row>
    <row r="141" spans="1:14">
      <c r="A141" s="8" t="str">
        <f>IF(C141="","",IFERROR(VLOOKUP($E141,códigos!$R:$R,1,FALSE),"NO"))</f>
        <v/>
      </c>
      <c r="B141" s="7"/>
      <c r="C141" s="14"/>
      <c r="D141" s="7"/>
      <c r="E141" s="7"/>
      <c r="F141" s="7"/>
      <c r="G141" s="7"/>
      <c r="H141" s="15"/>
      <c r="I141" s="7"/>
      <c r="J141" s="7"/>
      <c r="K141" s="7"/>
      <c r="L141" s="7"/>
      <c r="M141" s="7"/>
      <c r="N141" s="7"/>
    </row>
    <row r="142" spans="1:14">
      <c r="A142" s="8" t="str">
        <f>IF(C142="","",IFERROR(VLOOKUP($E142,códigos!$R:$R,1,FALSE),"NO"))</f>
        <v/>
      </c>
      <c r="B142" s="7"/>
      <c r="C142" s="14"/>
      <c r="D142" s="7"/>
      <c r="E142" s="7"/>
      <c r="F142" s="7"/>
      <c r="G142" s="7"/>
      <c r="H142" s="15"/>
      <c r="I142" s="7"/>
      <c r="J142" s="7"/>
      <c r="K142" s="7"/>
      <c r="L142" s="7"/>
      <c r="M142" s="7"/>
      <c r="N142" s="7"/>
    </row>
    <row r="143" spans="1:14">
      <c r="A143" s="8" t="str">
        <f>IF(C143="","",IFERROR(VLOOKUP($E143,códigos!$R:$R,1,FALSE),"NO"))</f>
        <v/>
      </c>
      <c r="B143" s="7"/>
      <c r="C143" s="14"/>
      <c r="D143" s="7"/>
      <c r="E143" s="7"/>
      <c r="F143" s="7"/>
      <c r="G143" s="7"/>
      <c r="H143" s="15"/>
      <c r="I143" s="17"/>
      <c r="J143" s="7"/>
      <c r="K143" s="7"/>
      <c r="L143" s="7"/>
      <c r="M143" s="7"/>
      <c r="N143" s="7"/>
    </row>
    <row r="144" spans="1:14">
      <c r="A144" s="8" t="str">
        <f>IF(C144="","",IFERROR(VLOOKUP($E144,códigos!$R:$R,1,FALSE),"NO"))</f>
        <v/>
      </c>
      <c r="B144" s="7"/>
      <c r="C144" s="14"/>
      <c r="D144" s="7"/>
      <c r="E144" s="7"/>
      <c r="F144" s="7"/>
      <c r="G144" s="7"/>
      <c r="H144" s="15"/>
      <c r="I144" s="16"/>
      <c r="J144" s="7"/>
      <c r="K144" s="7"/>
      <c r="L144" s="7"/>
      <c r="M144" s="7"/>
      <c r="N144" s="7"/>
    </row>
    <row r="145" spans="1:14">
      <c r="A145" s="8" t="str">
        <f>IF(C145="","",IFERROR(VLOOKUP($E145,códigos!$R:$R,1,FALSE),"NO"))</f>
        <v/>
      </c>
      <c r="B145" s="7"/>
      <c r="C145" s="14"/>
      <c r="D145" s="7"/>
      <c r="E145" s="7"/>
      <c r="F145" s="7"/>
      <c r="G145" s="7"/>
      <c r="H145" s="15"/>
      <c r="I145" s="16"/>
      <c r="J145" s="7"/>
      <c r="K145" s="7"/>
      <c r="L145" s="7"/>
      <c r="M145" s="7"/>
      <c r="N145" s="7"/>
    </row>
    <row r="146" spans="1:14">
      <c r="A146" s="8" t="str">
        <f>IF(C146="","",IFERROR(VLOOKUP($E146,códigos!$R:$R,1,FALSE),"NO"))</f>
        <v/>
      </c>
      <c r="B146" s="7"/>
      <c r="C146" s="14"/>
      <c r="D146" s="7"/>
      <c r="E146" s="7"/>
      <c r="F146" s="7"/>
      <c r="G146" s="7"/>
      <c r="H146" s="15"/>
      <c r="I146" s="7"/>
      <c r="J146" s="7"/>
      <c r="K146" s="7"/>
      <c r="L146" s="7"/>
      <c r="M146" s="7"/>
      <c r="N146" s="7"/>
    </row>
    <row r="147" spans="1:14">
      <c r="A147" s="8" t="str">
        <f>IF(C147="","",IFERROR(VLOOKUP($E147,códigos!$R:$R,1,FALSE),"NO"))</f>
        <v/>
      </c>
      <c r="B147" s="7"/>
      <c r="C147" s="14"/>
      <c r="D147" s="7"/>
      <c r="E147" s="7"/>
      <c r="F147" s="7"/>
      <c r="G147" s="7"/>
      <c r="H147" s="15"/>
      <c r="I147" s="16"/>
      <c r="J147" s="7"/>
      <c r="K147" s="7"/>
      <c r="L147" s="7"/>
      <c r="M147" s="7"/>
      <c r="N147" s="7"/>
    </row>
    <row r="148" spans="1:14">
      <c r="A148" s="8" t="str">
        <f>IF(C148="","",IFERROR(VLOOKUP($E148,códigos!$R:$R,1,FALSE),"NO"))</f>
        <v/>
      </c>
      <c r="B148" s="7"/>
      <c r="C148" s="14"/>
      <c r="D148" s="7"/>
      <c r="E148" s="7"/>
      <c r="F148" s="7"/>
      <c r="G148" s="7"/>
      <c r="H148" s="15"/>
      <c r="I148" s="16"/>
      <c r="J148" s="7"/>
      <c r="K148" s="7"/>
      <c r="L148" s="7"/>
      <c r="M148" s="7"/>
      <c r="N148" s="7"/>
    </row>
    <row r="149" spans="1:14">
      <c r="A149" s="8" t="str">
        <f>IF(C149="","",IFERROR(VLOOKUP($E149,códigos!$R:$R,1,FALSE),"NO"))</f>
        <v/>
      </c>
      <c r="B149" s="7"/>
      <c r="C149" s="14"/>
      <c r="D149" s="7"/>
      <c r="E149" s="7"/>
      <c r="F149" s="7"/>
      <c r="G149" s="7"/>
      <c r="H149" s="15"/>
      <c r="I149" s="16"/>
      <c r="J149" s="7"/>
      <c r="K149" s="7"/>
      <c r="L149" s="7"/>
      <c r="M149" s="7"/>
      <c r="N149" s="7"/>
    </row>
    <row r="150" spans="1:14">
      <c r="A150" s="8" t="str">
        <f>IF(C150="","",IFERROR(VLOOKUP($E150,códigos!$R:$R,1,FALSE),"NO"))</f>
        <v/>
      </c>
      <c r="B150" s="7"/>
      <c r="C150" s="14"/>
      <c r="D150" s="7"/>
      <c r="E150" s="7"/>
      <c r="F150" s="7"/>
      <c r="G150" s="7"/>
      <c r="H150" s="15"/>
      <c r="I150" s="16"/>
      <c r="J150" s="7"/>
      <c r="K150" s="7"/>
      <c r="L150" s="7"/>
      <c r="M150" s="7"/>
      <c r="N150" s="7"/>
    </row>
    <row r="151" spans="1:14">
      <c r="A151" s="8" t="str">
        <f>IF(C151="","",IFERROR(VLOOKUP($E151,códigos!$R:$R,1,FALSE),"NO"))</f>
        <v/>
      </c>
      <c r="B151" s="7"/>
      <c r="C151" s="14"/>
      <c r="D151" s="7"/>
      <c r="E151" s="7"/>
      <c r="F151" s="7"/>
      <c r="G151" s="7"/>
      <c r="H151" s="15"/>
      <c r="I151" s="16"/>
      <c r="J151" s="7"/>
      <c r="K151" s="7"/>
      <c r="L151" s="7"/>
      <c r="M151" s="7"/>
      <c r="N151" s="7"/>
    </row>
    <row r="152" spans="1:14">
      <c r="A152" s="8" t="str">
        <f>IF(C152="","",IFERROR(VLOOKUP($E152,códigos!$R:$R,1,FALSE),"NO"))</f>
        <v/>
      </c>
      <c r="B152" s="7"/>
      <c r="C152" s="14"/>
      <c r="D152" s="7"/>
      <c r="E152" s="7"/>
      <c r="F152" s="7"/>
      <c r="G152" s="7"/>
      <c r="H152" s="15"/>
      <c r="I152" s="16"/>
      <c r="J152" s="7"/>
      <c r="K152" s="7"/>
      <c r="L152" s="7"/>
      <c r="M152" s="7"/>
      <c r="N152" s="7"/>
    </row>
    <row r="153" spans="1:14">
      <c r="A153" s="8" t="str">
        <f>IF(C153="","",IFERROR(VLOOKUP($E153,códigos!$R:$R,1,FALSE),"NO"))</f>
        <v/>
      </c>
      <c r="B153" s="7"/>
      <c r="C153" s="14"/>
      <c r="D153" s="7"/>
      <c r="E153" s="7"/>
      <c r="F153" s="7"/>
      <c r="G153" s="7"/>
      <c r="H153" s="15"/>
      <c r="I153" s="16"/>
      <c r="J153" s="7"/>
      <c r="K153" s="7"/>
      <c r="L153" s="7"/>
      <c r="M153" s="7"/>
      <c r="N153" s="7"/>
    </row>
    <row r="154" spans="1:14">
      <c r="A154" s="8" t="str">
        <f>IF(C154="","",IFERROR(VLOOKUP($E154,códigos!$R:$R,1,FALSE),"NO"))</f>
        <v/>
      </c>
      <c r="B154" s="7"/>
      <c r="C154" s="14"/>
      <c r="D154" s="7"/>
      <c r="E154" s="7"/>
      <c r="F154" s="7"/>
      <c r="G154" s="7"/>
      <c r="H154" s="15"/>
      <c r="I154" s="16"/>
      <c r="J154" s="7"/>
      <c r="K154" s="7"/>
      <c r="L154" s="7"/>
      <c r="M154" s="7"/>
      <c r="N154" s="7"/>
    </row>
    <row r="155" spans="1:14">
      <c r="A155" s="8" t="str">
        <f>IF(C155="","",IFERROR(VLOOKUP($E155,códigos!$R:$R,1,FALSE),"NO"))</f>
        <v/>
      </c>
      <c r="B155" s="7"/>
      <c r="C155" s="14"/>
      <c r="D155" s="7"/>
      <c r="E155" s="7"/>
      <c r="F155" s="7"/>
      <c r="G155" s="7"/>
      <c r="H155" s="15"/>
      <c r="I155" s="16"/>
      <c r="J155" s="7"/>
      <c r="K155" s="7"/>
      <c r="L155" s="7"/>
      <c r="M155" s="7"/>
      <c r="N155" s="7"/>
    </row>
    <row r="156" spans="1:14">
      <c r="A156" s="8" t="str">
        <f>IF(C156="","",IFERROR(VLOOKUP($E156,códigos!$R:$R,1,FALSE),"NO"))</f>
        <v/>
      </c>
      <c r="B156" s="7"/>
      <c r="C156" s="14"/>
      <c r="D156" s="7"/>
      <c r="E156" s="7"/>
      <c r="F156" s="7"/>
      <c r="G156" s="7"/>
      <c r="H156" s="15"/>
      <c r="I156" s="16"/>
      <c r="J156" s="7"/>
      <c r="K156" s="7"/>
      <c r="L156" s="7"/>
      <c r="M156" s="16"/>
      <c r="N156" s="7"/>
    </row>
    <row r="157" spans="1:14">
      <c r="A157" s="8" t="str">
        <f>IF(C157="","",IFERROR(VLOOKUP($E157,códigos!$R:$R,1,FALSE),"NO"))</f>
        <v/>
      </c>
      <c r="B157" s="7"/>
      <c r="C157" s="14"/>
      <c r="D157" s="7"/>
      <c r="E157" s="7"/>
      <c r="F157" s="7"/>
      <c r="G157" s="7"/>
      <c r="H157" s="15"/>
      <c r="I157" s="16"/>
      <c r="J157" s="7"/>
      <c r="K157" s="7"/>
      <c r="L157" s="7"/>
      <c r="M157" s="7"/>
      <c r="N157" s="7"/>
    </row>
    <row r="158" spans="1:14">
      <c r="A158" s="8" t="str">
        <f>IF(C158="","",IFERROR(VLOOKUP($E158,códigos!$R:$R,1,FALSE),"NO"))</f>
        <v/>
      </c>
      <c r="B158" s="7"/>
      <c r="C158" s="14"/>
      <c r="D158" s="7"/>
      <c r="E158" s="7"/>
      <c r="F158" s="7"/>
      <c r="G158" s="7"/>
      <c r="H158" s="15"/>
      <c r="I158" s="16"/>
      <c r="J158" s="7"/>
      <c r="K158" s="7"/>
      <c r="L158" s="7"/>
      <c r="M158" s="7"/>
      <c r="N158" s="7"/>
    </row>
    <row r="159" spans="1:14">
      <c r="A159" s="8" t="str">
        <f>IF(C159="","",IFERROR(VLOOKUP($E159,códigos!$R:$R,1,FALSE),"NO"))</f>
        <v/>
      </c>
      <c r="B159" s="7"/>
      <c r="C159" s="14"/>
      <c r="D159" s="7"/>
      <c r="E159" s="7"/>
      <c r="F159" s="7"/>
      <c r="G159" s="7"/>
      <c r="H159" s="15"/>
      <c r="I159" s="16"/>
      <c r="J159" s="7"/>
      <c r="K159" s="7"/>
      <c r="L159" s="7"/>
      <c r="M159" s="7"/>
      <c r="N159" s="7"/>
    </row>
    <row r="160" spans="1:14">
      <c r="A160" s="8" t="str">
        <f>IF(C160="","",IFERROR(VLOOKUP($E160,códigos!$R:$R,1,FALSE),"NO"))</f>
        <v/>
      </c>
      <c r="B160" s="7"/>
      <c r="C160" s="14"/>
      <c r="D160" s="7"/>
      <c r="E160" s="7"/>
      <c r="F160" s="7"/>
      <c r="G160" s="7"/>
      <c r="H160" s="15"/>
      <c r="I160" s="16"/>
      <c r="J160" s="7"/>
      <c r="K160" s="7"/>
      <c r="L160" s="7"/>
      <c r="M160" s="7"/>
      <c r="N160" s="7"/>
    </row>
    <row r="161" spans="1:14">
      <c r="A161" s="8" t="str">
        <f>IF(C161="","",IFERROR(VLOOKUP($E161,códigos!$R:$R,1,FALSE),"NO"))</f>
        <v/>
      </c>
      <c r="B161" s="7"/>
      <c r="C161" s="14"/>
      <c r="D161" s="7"/>
      <c r="E161" s="7"/>
      <c r="F161" s="7"/>
      <c r="G161" s="7"/>
      <c r="H161" s="15"/>
      <c r="I161" s="16"/>
      <c r="J161" s="7"/>
      <c r="K161" s="7"/>
      <c r="L161" s="7"/>
      <c r="M161" s="7"/>
      <c r="N161" s="7"/>
    </row>
    <row r="162" spans="1:14">
      <c r="A162" s="8" t="str">
        <f>IF(C162="","",IFERROR(VLOOKUP($E162,códigos!$R:$R,1,FALSE),"NO"))</f>
        <v/>
      </c>
      <c r="B162" s="7"/>
      <c r="C162" s="14"/>
      <c r="D162" s="7"/>
      <c r="E162" s="7"/>
      <c r="F162" s="7"/>
      <c r="G162" s="7"/>
      <c r="H162" s="15"/>
      <c r="I162" s="16"/>
      <c r="J162" s="7"/>
      <c r="K162" s="7"/>
      <c r="L162" s="7"/>
      <c r="M162" s="7"/>
      <c r="N162" s="7"/>
    </row>
    <row r="163" spans="1:14">
      <c r="A163" s="8" t="str">
        <f>IF(C163="","",IFERROR(VLOOKUP($E163,códigos!$R:$R,1,FALSE),"NO"))</f>
        <v/>
      </c>
      <c r="B163" s="7"/>
      <c r="C163" s="14"/>
      <c r="D163" s="7"/>
      <c r="E163" s="7"/>
      <c r="F163" s="7"/>
      <c r="G163" s="7"/>
      <c r="H163" s="15"/>
      <c r="I163" s="16"/>
      <c r="J163" s="7"/>
      <c r="K163" s="7"/>
      <c r="L163" s="7"/>
      <c r="M163" s="7"/>
      <c r="N163" s="7"/>
    </row>
    <row r="164" spans="1:14">
      <c r="A164" s="8" t="str">
        <f>IF(C164="","",IFERROR(VLOOKUP($E164,códigos!$R:$R,1,FALSE),"NO"))</f>
        <v/>
      </c>
      <c r="B164" s="7"/>
      <c r="C164" s="14"/>
      <c r="D164" s="7"/>
      <c r="E164" s="7"/>
      <c r="F164" s="7"/>
      <c r="G164" s="7"/>
      <c r="H164" s="15"/>
      <c r="I164" s="16"/>
      <c r="J164" s="7"/>
      <c r="K164" s="7"/>
      <c r="L164" s="7"/>
      <c r="M164" s="7"/>
      <c r="N164" s="7"/>
    </row>
    <row r="165" spans="1:14">
      <c r="A165" s="8" t="str">
        <f>IF(C165="","",IFERROR(VLOOKUP($E165,códigos!$R:$R,1,FALSE),"NO"))</f>
        <v/>
      </c>
      <c r="B165" s="7"/>
      <c r="C165" s="14"/>
      <c r="D165" s="7"/>
      <c r="E165" s="7"/>
      <c r="F165" s="7"/>
      <c r="G165" s="7"/>
      <c r="H165" s="15"/>
      <c r="I165" s="16"/>
      <c r="J165" s="7"/>
      <c r="K165" s="7"/>
      <c r="L165" s="7"/>
      <c r="M165" s="7"/>
      <c r="N165" s="7"/>
    </row>
    <row r="166" spans="1:14">
      <c r="A166" s="8" t="str">
        <f>IF(C166="","",IFERROR(VLOOKUP($E166,códigos!$R:$R,1,FALSE),"NO"))</f>
        <v/>
      </c>
      <c r="B166" s="7"/>
      <c r="C166" s="14"/>
      <c r="D166" s="7"/>
      <c r="E166" s="7"/>
      <c r="F166" s="7"/>
      <c r="G166" s="7"/>
      <c r="H166" s="15"/>
      <c r="I166" s="16"/>
      <c r="J166" s="7"/>
      <c r="K166" s="7"/>
      <c r="L166" s="7"/>
      <c r="M166" s="7"/>
      <c r="N166" s="7"/>
    </row>
    <row r="167" spans="1:14">
      <c r="A167" s="8" t="str">
        <f>IF(C167="","",IFERROR(VLOOKUP($E167,códigos!$R:$R,1,FALSE),"NO"))</f>
        <v/>
      </c>
      <c r="B167" s="7"/>
      <c r="C167" s="14"/>
      <c r="D167" s="7"/>
      <c r="E167" s="7"/>
      <c r="F167" s="7"/>
      <c r="G167" s="7"/>
      <c r="H167" s="15"/>
      <c r="I167" s="16"/>
      <c r="J167" s="7"/>
      <c r="K167" s="7"/>
      <c r="L167" s="7"/>
      <c r="M167" s="7"/>
      <c r="N167" s="7"/>
    </row>
    <row r="168" spans="1:14">
      <c r="A168" s="8" t="str">
        <f>IF(C168="","",IFERROR(VLOOKUP($E168,códigos!$R:$R,1,FALSE),"NO"))</f>
        <v/>
      </c>
      <c r="B168" s="7"/>
      <c r="C168" s="14"/>
      <c r="D168" s="7"/>
      <c r="E168" s="7"/>
      <c r="F168" s="7"/>
      <c r="G168" s="7"/>
      <c r="H168" s="15"/>
      <c r="I168" s="7"/>
      <c r="J168" s="7"/>
      <c r="K168" s="7"/>
      <c r="L168" s="7"/>
      <c r="M168" s="7"/>
      <c r="N168" s="7"/>
    </row>
    <row r="169" spans="1:14">
      <c r="A169" s="8" t="str">
        <f>IF(C169="","",IFERROR(VLOOKUP($E169,códigos!$R:$R,1,FALSE),"NO"))</f>
        <v/>
      </c>
      <c r="B169" s="7"/>
      <c r="C169" s="14"/>
      <c r="D169" s="7"/>
      <c r="E169" s="7"/>
      <c r="F169" s="7"/>
      <c r="G169" s="7"/>
      <c r="H169" s="15"/>
      <c r="I169" s="16"/>
      <c r="J169" s="7"/>
      <c r="K169" s="7"/>
      <c r="L169" s="7"/>
      <c r="M169" s="7"/>
      <c r="N169" s="7"/>
    </row>
    <row r="170" spans="1:14">
      <c r="A170" s="8" t="str">
        <f>IF(C170="","",IFERROR(VLOOKUP($E170,códigos!$R:$R,1,FALSE),"NO"))</f>
        <v/>
      </c>
      <c r="B170" s="7"/>
      <c r="C170" s="14"/>
      <c r="D170" s="7"/>
      <c r="E170" s="7"/>
      <c r="F170" s="7"/>
      <c r="G170" s="7"/>
      <c r="H170" s="15"/>
      <c r="I170" s="7"/>
      <c r="J170" s="7"/>
      <c r="K170" s="7"/>
      <c r="L170" s="7"/>
      <c r="M170" s="7"/>
      <c r="N170" s="7"/>
    </row>
    <row r="171" spans="1:14">
      <c r="A171" s="8" t="str">
        <f>IF(C171="","",IFERROR(VLOOKUP($E171,códigos!$R:$R,1,FALSE),"NO"))</f>
        <v/>
      </c>
      <c r="B171" s="7"/>
      <c r="C171" s="14"/>
      <c r="D171" s="7"/>
      <c r="E171" s="7"/>
      <c r="F171" s="7"/>
      <c r="G171" s="7"/>
      <c r="H171" s="15"/>
      <c r="I171" s="7"/>
      <c r="J171" s="7"/>
      <c r="K171" s="7"/>
      <c r="L171" s="7"/>
      <c r="M171" s="7"/>
      <c r="N171" s="7"/>
    </row>
    <row r="172" spans="1:14">
      <c r="A172" s="8" t="str">
        <f>IF(C172="","",IFERROR(VLOOKUP($E172,códigos!$R:$R,1,FALSE),"NO"))</f>
        <v/>
      </c>
      <c r="B172" s="7"/>
      <c r="C172" s="14"/>
      <c r="D172" s="7"/>
      <c r="E172" s="7"/>
      <c r="F172" s="7"/>
      <c r="G172" s="7"/>
      <c r="H172" s="15"/>
      <c r="I172" s="16"/>
      <c r="J172" s="7"/>
      <c r="K172" s="7"/>
      <c r="L172" s="7"/>
      <c r="M172" s="7"/>
      <c r="N172" s="7"/>
    </row>
    <row r="173" spans="1:14">
      <c r="A173" s="8" t="str">
        <f>IF(C173="","",IFERROR(VLOOKUP($E173,códigos!$R:$R,1,FALSE),"NO"))</f>
        <v/>
      </c>
      <c r="B173" s="7"/>
      <c r="C173" s="14"/>
      <c r="D173" s="7"/>
      <c r="E173" s="7"/>
      <c r="F173" s="7"/>
      <c r="G173" s="7"/>
      <c r="H173" s="15"/>
      <c r="I173" s="16"/>
      <c r="J173" s="7"/>
      <c r="K173" s="7"/>
      <c r="L173" s="7"/>
      <c r="M173" s="7"/>
      <c r="N173" s="7"/>
    </row>
    <row r="174" spans="1:14">
      <c r="A174" s="8" t="str">
        <f>IF(C174="","",IFERROR(VLOOKUP($E174,códigos!$R:$R,1,FALSE),"NO"))</f>
        <v/>
      </c>
      <c r="B174" s="7"/>
      <c r="C174" s="14"/>
      <c r="D174" s="7"/>
      <c r="E174" s="7"/>
      <c r="F174" s="7"/>
      <c r="G174" s="7"/>
      <c r="H174" s="15"/>
      <c r="I174" s="16"/>
      <c r="J174" s="7"/>
      <c r="K174" s="7"/>
      <c r="L174" s="7"/>
      <c r="M174" s="7"/>
      <c r="N174" s="7"/>
    </row>
    <row r="175" spans="1:14">
      <c r="A175" s="8" t="str">
        <f>IF(C175="","",IFERROR(VLOOKUP($E175,códigos!$R:$R,1,FALSE),"NO"))</f>
        <v/>
      </c>
      <c r="B175" s="7"/>
      <c r="C175" s="14"/>
      <c r="D175" s="7"/>
      <c r="E175" s="7"/>
      <c r="F175" s="7"/>
      <c r="G175" s="7"/>
      <c r="H175" s="15"/>
      <c r="I175" s="16"/>
      <c r="J175" s="7"/>
      <c r="K175" s="7"/>
      <c r="L175" s="7"/>
      <c r="M175" s="7"/>
      <c r="N175" s="7"/>
    </row>
    <row r="176" spans="1:14">
      <c r="A176" s="8" t="str">
        <f>IF(C176="","",IFERROR(VLOOKUP($E176,códigos!$R:$R,1,FALSE),"NO"))</f>
        <v/>
      </c>
      <c r="B176" s="7"/>
      <c r="C176" s="14"/>
      <c r="D176" s="7"/>
      <c r="E176" s="7"/>
      <c r="F176" s="7"/>
      <c r="G176" s="7"/>
      <c r="H176" s="15"/>
      <c r="I176" s="16"/>
      <c r="J176" s="7"/>
      <c r="K176" s="7"/>
      <c r="L176" s="7"/>
      <c r="M176" s="7"/>
      <c r="N176" s="7"/>
    </row>
    <row r="177" spans="1:14">
      <c r="A177" s="8" t="str">
        <f>IF(C177="","",IFERROR(VLOOKUP($E177,códigos!$R:$R,1,FALSE),"NO"))</f>
        <v/>
      </c>
      <c r="B177" s="7"/>
      <c r="C177" s="14"/>
      <c r="D177" s="7"/>
      <c r="E177" s="7"/>
      <c r="F177" s="7"/>
      <c r="G177" s="7"/>
      <c r="H177" s="15"/>
      <c r="I177" s="16"/>
      <c r="J177" s="7"/>
      <c r="K177" s="7"/>
      <c r="L177" s="7"/>
      <c r="M177" s="7"/>
      <c r="N177" s="7"/>
    </row>
    <row r="178" spans="1:14">
      <c r="A178" s="8" t="str">
        <f>IF(C178="","",IFERROR(VLOOKUP($E178,códigos!$R:$R,1,FALSE),"NO"))</f>
        <v/>
      </c>
      <c r="B178" s="7"/>
      <c r="C178" s="14"/>
      <c r="D178" s="7"/>
      <c r="E178" s="7"/>
      <c r="F178" s="7"/>
      <c r="G178" s="7"/>
      <c r="H178" s="15"/>
      <c r="I178" s="17"/>
      <c r="J178" s="7"/>
      <c r="K178" s="7"/>
      <c r="L178" s="7"/>
      <c r="M178" s="7"/>
      <c r="N178" s="7"/>
    </row>
    <row r="179" spans="1:14">
      <c r="A179" s="8" t="str">
        <f>IF(C179="","",IFERROR(VLOOKUP($E179,códigos!$R:$R,1,FALSE),"NO"))</f>
        <v/>
      </c>
      <c r="B179" s="7"/>
      <c r="C179" s="14"/>
      <c r="D179" s="7"/>
      <c r="E179" s="7"/>
      <c r="F179" s="7"/>
      <c r="G179" s="7"/>
      <c r="H179" s="15"/>
      <c r="I179" s="17"/>
      <c r="J179" s="7"/>
      <c r="K179" s="7"/>
      <c r="L179" s="7"/>
      <c r="M179" s="7"/>
      <c r="N179" s="7"/>
    </row>
    <row r="180" spans="1:14">
      <c r="A180" s="8" t="str">
        <f>IF(C180="","",IFERROR(VLOOKUP($E180,códigos!$R:$R,1,FALSE),"NO"))</f>
        <v/>
      </c>
      <c r="B180" s="7"/>
      <c r="C180" s="14"/>
      <c r="D180" s="7"/>
      <c r="E180" s="7"/>
      <c r="F180" s="7"/>
      <c r="G180" s="7"/>
      <c r="H180" s="15"/>
      <c r="I180" s="17"/>
      <c r="J180" s="7"/>
      <c r="K180" s="7"/>
      <c r="L180" s="7"/>
      <c r="M180" s="7"/>
      <c r="N180" s="7"/>
    </row>
    <row r="181" spans="1:14">
      <c r="A181" s="8" t="str">
        <f>IF(C181="","",IFERROR(VLOOKUP($E181,códigos!$R:$R,1,FALSE),"NO"))</f>
        <v/>
      </c>
      <c r="B181" s="7"/>
      <c r="C181" s="14"/>
      <c r="D181" s="7"/>
      <c r="E181" s="7"/>
      <c r="F181" s="7"/>
      <c r="G181" s="7"/>
      <c r="H181" s="15"/>
      <c r="I181" s="17"/>
      <c r="J181" s="7"/>
      <c r="K181" s="7"/>
      <c r="L181" s="7"/>
      <c r="M181" s="7"/>
      <c r="N181" s="7"/>
    </row>
    <row r="182" spans="1:14">
      <c r="A182" s="8" t="str">
        <f>IF(C182="","",IFERROR(VLOOKUP($E182,códigos!$R:$R,1,FALSE),"NO"))</f>
        <v/>
      </c>
      <c r="B182" s="7"/>
      <c r="C182" s="14"/>
      <c r="D182" s="7"/>
      <c r="E182" s="7"/>
      <c r="F182" s="7"/>
      <c r="G182" s="7"/>
      <c r="H182" s="15"/>
      <c r="I182" s="17"/>
      <c r="J182" s="7"/>
      <c r="K182" s="7"/>
      <c r="L182" s="7"/>
      <c r="M182" s="7"/>
      <c r="N182" s="7"/>
    </row>
    <row r="183" spans="1:14">
      <c r="A183" s="8" t="str">
        <f>IF(C183="","",IFERROR(VLOOKUP($E183,códigos!$R:$R,1,FALSE),"NO"))</f>
        <v/>
      </c>
      <c r="B183" s="7"/>
      <c r="C183" s="14"/>
      <c r="D183" s="7"/>
      <c r="E183" s="7"/>
      <c r="F183" s="7"/>
      <c r="G183" s="7"/>
      <c r="H183" s="15"/>
      <c r="I183" s="16"/>
      <c r="J183" s="7"/>
      <c r="K183" s="7"/>
      <c r="L183" s="7"/>
      <c r="M183" s="7"/>
      <c r="N183" s="7"/>
    </row>
    <row r="184" spans="1:14">
      <c r="A184" s="8" t="str">
        <f>IF(C184="","",IFERROR(VLOOKUP($E184,códigos!$R:$R,1,FALSE),"NO"))</f>
        <v/>
      </c>
      <c r="B184" s="7"/>
      <c r="C184" s="14"/>
      <c r="D184" s="7"/>
      <c r="E184" s="7"/>
      <c r="F184" s="7"/>
      <c r="G184" s="7"/>
      <c r="H184" s="15"/>
      <c r="I184" s="16"/>
      <c r="J184" s="7"/>
      <c r="K184" s="7"/>
      <c r="L184" s="7"/>
      <c r="M184" s="7"/>
      <c r="N184" s="7"/>
    </row>
    <row r="185" spans="1:14">
      <c r="A185" s="8" t="str">
        <f>IF(C185="","",IFERROR(VLOOKUP($E185,códigos!$R:$R,1,FALSE),"NO"))</f>
        <v/>
      </c>
      <c r="B185" s="7"/>
      <c r="C185" s="14"/>
      <c r="D185" s="7"/>
      <c r="E185" s="7"/>
      <c r="F185" s="7"/>
      <c r="G185" s="7"/>
      <c r="H185" s="15"/>
      <c r="I185" s="16"/>
      <c r="J185" s="7"/>
      <c r="K185" s="7"/>
      <c r="L185" s="7"/>
      <c r="M185" s="7"/>
      <c r="N185" s="7"/>
    </row>
    <row r="186" spans="1:14">
      <c r="A186" s="8" t="str">
        <f>IF(C186="","",IFERROR(VLOOKUP($E186,códigos!$R:$R,1,FALSE),"NO"))</f>
        <v/>
      </c>
      <c r="B186" s="7"/>
      <c r="C186" s="14"/>
      <c r="D186" s="7"/>
      <c r="E186" s="7"/>
      <c r="F186" s="7"/>
      <c r="G186" s="7"/>
      <c r="H186" s="15"/>
      <c r="I186" s="16"/>
      <c r="J186" s="7"/>
      <c r="K186" s="7"/>
      <c r="L186" s="7"/>
      <c r="M186" s="7"/>
      <c r="N186" s="7"/>
    </row>
    <row r="187" spans="1:14">
      <c r="A187" s="8" t="str">
        <f>IF(C187="","",IFERROR(VLOOKUP($E187,códigos!$R:$R,1,FALSE),"NO"))</f>
        <v/>
      </c>
      <c r="B187" s="7"/>
      <c r="C187" s="14"/>
      <c r="D187" s="7"/>
      <c r="E187" s="7"/>
      <c r="F187" s="7"/>
      <c r="G187" s="7"/>
      <c r="H187" s="15"/>
      <c r="I187" s="16"/>
      <c r="J187" s="7"/>
      <c r="K187" s="7"/>
      <c r="L187" s="7"/>
      <c r="M187" s="7"/>
      <c r="N187" s="7"/>
    </row>
    <row r="188" spans="1:14">
      <c r="A188" s="8" t="str">
        <f>IF(C188="","",IFERROR(VLOOKUP($E188,códigos!$R:$R,1,FALSE),"NO"))</f>
        <v/>
      </c>
      <c r="B188" s="7"/>
      <c r="C188" s="14"/>
      <c r="D188" s="7"/>
      <c r="E188" s="7"/>
      <c r="F188" s="7"/>
      <c r="G188" s="7"/>
      <c r="H188" s="15"/>
      <c r="I188" s="17"/>
      <c r="J188" s="7"/>
      <c r="K188" s="7"/>
      <c r="L188" s="7"/>
      <c r="M188" s="7"/>
      <c r="N188" s="7"/>
    </row>
    <row r="189" spans="1:14">
      <c r="A189" s="8" t="str">
        <f>IF(C189="","",IFERROR(VLOOKUP($E189,códigos!$R:$R,1,FALSE),"NO"))</f>
        <v/>
      </c>
      <c r="B189" s="7"/>
      <c r="C189" s="14"/>
      <c r="D189" s="7"/>
      <c r="E189" s="7"/>
      <c r="F189" s="7"/>
      <c r="G189" s="7"/>
      <c r="H189" s="15"/>
      <c r="I189" s="17"/>
      <c r="J189" s="7"/>
      <c r="K189" s="7"/>
      <c r="L189" s="7"/>
      <c r="M189" s="7"/>
      <c r="N189" s="7"/>
    </row>
    <row r="190" spans="1:14">
      <c r="A190" s="8" t="str">
        <f>IF(C190="","",IFERROR(VLOOKUP($E190,códigos!$R:$R,1,FALSE),"NO"))</f>
        <v/>
      </c>
      <c r="B190" s="7"/>
      <c r="C190" s="14"/>
      <c r="D190" s="7"/>
      <c r="E190" s="7"/>
      <c r="F190" s="7"/>
      <c r="G190" s="7"/>
      <c r="H190" s="15"/>
      <c r="I190" s="16"/>
      <c r="J190" s="7"/>
      <c r="K190" s="7"/>
      <c r="L190" s="7"/>
      <c r="M190" s="7"/>
      <c r="N190" s="7"/>
    </row>
    <row r="191" spans="1:14">
      <c r="A191" s="8" t="str">
        <f>IF(C191="","",IFERROR(VLOOKUP($E191,códigos!$R:$R,1,FALSE),"NO"))</f>
        <v/>
      </c>
      <c r="B191" s="7"/>
      <c r="C191" s="14"/>
      <c r="D191" s="7"/>
      <c r="E191" s="7"/>
      <c r="F191" s="7"/>
      <c r="G191" s="7"/>
      <c r="H191" s="15"/>
      <c r="I191" s="17"/>
      <c r="J191" s="7"/>
      <c r="K191" s="7"/>
      <c r="L191" s="7"/>
      <c r="M191" s="7"/>
      <c r="N191" s="7"/>
    </row>
    <row r="192" spans="1:14">
      <c r="A192" s="8" t="str">
        <f>IF(C192="","",IFERROR(VLOOKUP($E192,códigos!$R:$R,1,FALSE),"NO"))</f>
        <v/>
      </c>
      <c r="B192" s="7"/>
      <c r="C192" s="14"/>
      <c r="D192" s="7"/>
      <c r="E192" s="7"/>
      <c r="F192" s="7"/>
      <c r="G192" s="7"/>
      <c r="H192" s="15"/>
      <c r="I192" s="17"/>
      <c r="J192" s="7"/>
      <c r="K192" s="7"/>
      <c r="L192" s="7"/>
      <c r="M192" s="7"/>
      <c r="N192" s="7"/>
    </row>
    <row r="193" spans="1:14">
      <c r="A193" s="8" t="str">
        <f>IF(C193="","",IFERROR(VLOOKUP($E193,códigos!$R:$R,1,FALSE),"NO"))</f>
        <v/>
      </c>
      <c r="B193" s="7"/>
      <c r="C193" s="14"/>
      <c r="D193" s="7"/>
      <c r="E193" s="7"/>
      <c r="F193" s="7"/>
      <c r="G193" s="7"/>
      <c r="H193" s="15"/>
      <c r="I193" s="17"/>
      <c r="J193" s="7"/>
      <c r="K193" s="7"/>
      <c r="L193" s="7"/>
      <c r="M193" s="7"/>
      <c r="N193" s="7"/>
    </row>
    <row r="194" spans="1:14">
      <c r="A194" s="8" t="str">
        <f>IF(C194="","",IFERROR(VLOOKUP($E194,códigos!$R:$R,1,FALSE),"NO"))</f>
        <v/>
      </c>
      <c r="B194" s="7"/>
      <c r="C194" s="14"/>
      <c r="D194" s="7"/>
      <c r="E194" s="7"/>
      <c r="F194" s="7"/>
      <c r="G194" s="7"/>
      <c r="H194" s="15"/>
      <c r="I194" s="16"/>
      <c r="J194" s="7"/>
      <c r="K194" s="7"/>
      <c r="L194" s="7"/>
      <c r="M194" s="7"/>
      <c r="N194" s="7"/>
    </row>
    <row r="195" spans="1:14">
      <c r="A195" s="8" t="str">
        <f>IF(C195="","",IFERROR(VLOOKUP($E195,códigos!$R:$R,1,FALSE),"NO"))</f>
        <v/>
      </c>
      <c r="B195" s="7"/>
      <c r="C195" s="14"/>
      <c r="D195" s="7"/>
      <c r="E195" s="7"/>
      <c r="F195" s="7"/>
      <c r="G195" s="7"/>
      <c r="H195" s="15"/>
      <c r="I195" s="17"/>
      <c r="J195" s="7"/>
      <c r="K195" s="7"/>
      <c r="L195" s="7"/>
      <c r="M195" s="7"/>
      <c r="N195" s="7"/>
    </row>
    <row r="196" spans="1:14">
      <c r="A196" s="8" t="str">
        <f>IF(C196="","",IFERROR(VLOOKUP($E196,códigos!$R:$R,1,FALSE),"NO"))</f>
        <v/>
      </c>
      <c r="B196" s="7"/>
      <c r="C196" s="14"/>
      <c r="D196" s="7"/>
      <c r="E196" s="7"/>
      <c r="F196" s="7"/>
      <c r="G196" s="7"/>
      <c r="H196" s="15"/>
      <c r="I196" s="17"/>
      <c r="J196" s="7"/>
      <c r="K196" s="7"/>
      <c r="L196" s="7"/>
      <c r="M196" s="7"/>
      <c r="N196" s="7"/>
    </row>
    <row r="197" spans="1:14">
      <c r="A197" s="8" t="str">
        <f>IF(C197="","",IFERROR(VLOOKUP($E197,códigos!$R:$R,1,FALSE),"NO"))</f>
        <v/>
      </c>
      <c r="B197" s="7"/>
      <c r="C197" s="14"/>
      <c r="D197" s="7"/>
      <c r="E197" s="7"/>
      <c r="F197" s="7"/>
      <c r="G197" s="7"/>
      <c r="H197" s="15"/>
      <c r="I197" s="17"/>
      <c r="J197" s="7"/>
      <c r="K197" s="7"/>
      <c r="L197" s="7"/>
      <c r="M197" s="7"/>
      <c r="N197" s="7"/>
    </row>
    <row r="198" spans="1:14">
      <c r="A198" s="8" t="str">
        <f>IF(C198="","",IFERROR(VLOOKUP($E198,códigos!$R:$R,1,FALSE),"NO"))</f>
        <v/>
      </c>
      <c r="B198" s="7"/>
      <c r="C198" s="14"/>
      <c r="D198" s="7"/>
      <c r="E198" s="7"/>
      <c r="F198" s="7"/>
      <c r="G198" s="7"/>
      <c r="H198" s="15"/>
      <c r="I198" s="17"/>
      <c r="J198" s="7"/>
      <c r="K198" s="7"/>
      <c r="L198" s="7"/>
      <c r="M198" s="7"/>
      <c r="N198" s="7"/>
    </row>
    <row r="199" spans="1:14">
      <c r="A199" s="8" t="str">
        <f>IF(C199="","",IFERROR(VLOOKUP($E199,códigos!$R:$R,1,FALSE),"NO"))</f>
        <v/>
      </c>
      <c r="B199" s="7"/>
      <c r="C199" s="14"/>
      <c r="D199" s="7"/>
      <c r="E199" s="7"/>
      <c r="F199" s="7"/>
      <c r="G199" s="7"/>
      <c r="H199" s="15"/>
      <c r="I199" s="7"/>
      <c r="J199" s="7"/>
      <c r="K199" s="7"/>
      <c r="L199" s="7"/>
      <c r="M199" s="7"/>
      <c r="N199" s="7"/>
    </row>
    <row r="200" spans="1:14">
      <c r="A200" s="8" t="str">
        <f>IF(C200="","",IFERROR(VLOOKUP($E200,códigos!$R:$R,1,FALSE),"NO"))</f>
        <v/>
      </c>
      <c r="B200" s="7"/>
      <c r="C200" s="14"/>
      <c r="D200" s="7"/>
      <c r="E200" s="7"/>
      <c r="F200" s="7"/>
      <c r="G200" s="7"/>
      <c r="H200" s="15"/>
      <c r="I200" s="17"/>
      <c r="J200" s="7"/>
      <c r="K200" s="7"/>
      <c r="L200" s="7"/>
      <c r="M200" s="7"/>
      <c r="N200" s="7"/>
    </row>
    <row r="201" spans="1:14">
      <c r="A201" s="8" t="str">
        <f>IF(C201="","",IFERROR(VLOOKUP($E201,códigos!$R:$R,1,FALSE),"NO"))</f>
        <v/>
      </c>
      <c r="B201" s="7"/>
      <c r="C201" s="14"/>
      <c r="D201" s="7"/>
      <c r="E201" s="7"/>
      <c r="F201" s="7"/>
      <c r="G201" s="7"/>
      <c r="H201" s="15"/>
      <c r="I201" s="16"/>
      <c r="J201" s="7"/>
      <c r="K201" s="7"/>
      <c r="L201" s="7"/>
      <c r="M201" s="7"/>
      <c r="N201" s="7"/>
    </row>
    <row r="202" spans="1:14">
      <c r="A202" s="8" t="str">
        <f>IF(C202="","",IFERROR(VLOOKUP($E202,códigos!$R:$R,1,FALSE),"NO"))</f>
        <v/>
      </c>
      <c r="B202" s="7"/>
      <c r="C202" s="14"/>
      <c r="D202" s="7"/>
      <c r="E202" s="7"/>
      <c r="F202" s="7"/>
      <c r="G202" s="7"/>
      <c r="H202" s="15"/>
      <c r="I202" s="16"/>
      <c r="J202" s="7"/>
      <c r="K202" s="7"/>
      <c r="L202" s="7"/>
      <c r="M202" s="7"/>
      <c r="N202" s="7"/>
    </row>
    <row r="203" spans="1:14">
      <c r="A203" s="8" t="str">
        <f>IF(C203="","",IFERROR(VLOOKUP($E203,códigos!$R:$R,1,FALSE),"NO"))</f>
        <v/>
      </c>
      <c r="B203" s="7"/>
      <c r="C203" s="14"/>
      <c r="D203" s="7"/>
      <c r="E203" s="7"/>
      <c r="F203" s="7"/>
      <c r="G203" s="7"/>
      <c r="H203" s="15"/>
      <c r="I203" s="17"/>
      <c r="J203" s="7"/>
      <c r="K203" s="7"/>
      <c r="L203" s="7"/>
      <c r="M203" s="7"/>
      <c r="N203" s="7"/>
    </row>
    <row r="204" spans="1:14">
      <c r="A204" s="8" t="str">
        <f>IF(C204="","",IFERROR(VLOOKUP($E204,códigos!$R:$R,1,FALSE),"NO"))</f>
        <v/>
      </c>
      <c r="B204" s="7"/>
      <c r="C204" s="14"/>
      <c r="D204" s="7"/>
      <c r="E204" s="7"/>
      <c r="F204" s="7"/>
      <c r="G204" s="7"/>
      <c r="H204" s="15"/>
      <c r="I204" s="16"/>
      <c r="J204" s="7"/>
      <c r="K204" s="7"/>
      <c r="L204" s="7"/>
      <c r="M204" s="7"/>
      <c r="N204" s="7"/>
    </row>
    <row r="205" spans="1:14">
      <c r="A205" s="8" t="str">
        <f>IF(C205="","",IFERROR(VLOOKUP($E205,códigos!$R:$R,1,FALSE),"NO"))</f>
        <v/>
      </c>
      <c r="B205" s="7"/>
      <c r="C205" s="14"/>
      <c r="D205" s="7"/>
      <c r="E205" s="7"/>
      <c r="F205" s="7"/>
      <c r="G205" s="7"/>
      <c r="H205" s="15"/>
      <c r="I205" s="17"/>
      <c r="J205" s="7"/>
      <c r="K205" s="7"/>
      <c r="L205" s="7"/>
      <c r="M205" s="7"/>
      <c r="N205" s="7"/>
    </row>
    <row r="206" spans="1:14">
      <c r="A206" s="8" t="str">
        <f>IF(C206="","",IFERROR(VLOOKUP($E206,códigos!$R:$R,1,FALSE),"NO"))</f>
        <v/>
      </c>
      <c r="B206" s="7"/>
      <c r="C206" s="14"/>
      <c r="D206" s="7"/>
      <c r="E206" s="7"/>
      <c r="F206" s="7"/>
      <c r="G206" s="7"/>
      <c r="H206" s="15"/>
      <c r="I206" s="17"/>
      <c r="J206" s="7"/>
      <c r="K206" s="7"/>
      <c r="L206" s="7"/>
      <c r="M206" s="7"/>
      <c r="N206" s="7"/>
    </row>
    <row r="207" spans="1:14">
      <c r="A207" s="8" t="str">
        <f>IF(C207="","",IFERROR(VLOOKUP($E207,códigos!$R:$R,1,FALSE),"NO"))</f>
        <v/>
      </c>
      <c r="B207" s="7"/>
      <c r="C207" s="14"/>
      <c r="D207" s="7"/>
      <c r="E207" s="7"/>
      <c r="F207" s="7"/>
      <c r="G207" s="7"/>
      <c r="H207" s="15"/>
      <c r="I207" s="17"/>
      <c r="J207" s="7"/>
      <c r="K207" s="7"/>
      <c r="L207" s="7"/>
      <c r="M207" s="7"/>
      <c r="N207" s="7"/>
    </row>
    <row r="208" spans="1:14">
      <c r="A208" s="8" t="str">
        <f>IF(C208="","",IFERROR(VLOOKUP($E208,códigos!$R:$R,1,FALSE),"NO"))</f>
        <v/>
      </c>
      <c r="B208" s="7"/>
      <c r="C208" s="14"/>
      <c r="D208" s="7"/>
      <c r="E208" s="7"/>
      <c r="F208" s="7"/>
      <c r="G208" s="7"/>
      <c r="H208" s="15"/>
      <c r="I208" s="7"/>
      <c r="J208" s="7"/>
      <c r="K208" s="7"/>
      <c r="L208" s="7"/>
      <c r="M208" s="7"/>
      <c r="N208" s="7"/>
    </row>
    <row r="209" spans="1:14">
      <c r="A209" s="8" t="str">
        <f>IF(C209="","",IFERROR(VLOOKUP($E209,códigos!$R:$R,1,FALSE),"NO"))</f>
        <v/>
      </c>
      <c r="B209" s="7"/>
      <c r="C209" s="14"/>
      <c r="D209" s="7"/>
      <c r="E209" s="7"/>
      <c r="F209" s="7"/>
      <c r="G209" s="7"/>
      <c r="H209" s="15"/>
      <c r="I209" s="7"/>
      <c r="J209" s="7"/>
      <c r="K209" s="7"/>
      <c r="L209" s="7"/>
      <c r="M209" s="7"/>
      <c r="N209" s="7"/>
    </row>
    <row r="210" spans="1:14">
      <c r="A210" s="8" t="str">
        <f>IF(C210="","",IFERROR(VLOOKUP($E210,códigos!$R:$R,1,FALSE),"NO"))</f>
        <v/>
      </c>
      <c r="B210" s="7"/>
      <c r="C210" s="14"/>
      <c r="D210" s="7"/>
      <c r="E210" s="7"/>
      <c r="F210" s="7"/>
      <c r="G210" s="7"/>
      <c r="H210" s="15"/>
      <c r="I210" s="7"/>
      <c r="J210" s="7"/>
      <c r="K210" s="7"/>
      <c r="L210" s="7"/>
      <c r="M210" s="7"/>
      <c r="N210" s="7"/>
    </row>
    <row r="211" spans="1:14">
      <c r="A211" s="8" t="str">
        <f>IF(C211="","",IFERROR(VLOOKUP($E211,códigos!$R:$R,1,FALSE),"NO"))</f>
        <v/>
      </c>
      <c r="B211" s="7"/>
      <c r="C211" s="14"/>
      <c r="D211" s="7"/>
      <c r="E211" s="7"/>
      <c r="F211" s="7"/>
      <c r="G211" s="7"/>
      <c r="H211" s="15"/>
      <c r="I211" s="16"/>
      <c r="J211" s="7"/>
      <c r="K211" s="7"/>
      <c r="L211" s="7"/>
      <c r="M211" s="7"/>
      <c r="N211" s="7"/>
    </row>
    <row r="212" spans="1:14">
      <c r="A212" s="8" t="str">
        <f>IF(C212="","",IFERROR(VLOOKUP($E212,códigos!$R:$R,1,FALSE),"NO"))</f>
        <v/>
      </c>
      <c r="B212" s="7"/>
      <c r="C212" s="14"/>
      <c r="D212" s="7"/>
      <c r="E212" s="7"/>
      <c r="F212" s="7"/>
      <c r="G212" s="7"/>
      <c r="H212" s="15"/>
      <c r="I212" s="17"/>
      <c r="J212" s="7"/>
      <c r="K212" s="7"/>
      <c r="L212" s="7"/>
      <c r="M212" s="7"/>
      <c r="N212" s="7"/>
    </row>
    <row r="213" spans="1:14">
      <c r="A213" s="8" t="str">
        <f>IF(C213="","",IFERROR(VLOOKUP($E213,códigos!$R:$R,1,FALSE),"NO"))</f>
        <v/>
      </c>
      <c r="C213" s="14"/>
      <c r="H213" s="15"/>
      <c r="N213" s="7"/>
    </row>
    <row r="214" spans="1:14">
      <c r="A214" s="8" t="str">
        <f>IF(C214="","",IFERROR(VLOOKUP($E214,códigos!$R:$R,1,FALSE),"NO"))</f>
        <v/>
      </c>
      <c r="C214" s="14"/>
      <c r="H214" s="15"/>
      <c r="N214" s="7"/>
    </row>
    <row r="215" spans="1:14">
      <c r="A215" s="8" t="str">
        <f>IF(C215="","",IFERROR(VLOOKUP($E215,códigos!$R:$R,1,FALSE),"NO"))</f>
        <v/>
      </c>
      <c r="C215" s="14"/>
      <c r="H215" s="15"/>
      <c r="N215" s="7"/>
    </row>
    <row r="216" spans="1:14">
      <c r="A216" s="8" t="str">
        <f>IF(C216="","",IFERROR(VLOOKUP($E216,códigos!$R:$R,1,FALSE),"NO"))</f>
        <v/>
      </c>
      <c r="C216" s="14"/>
      <c r="H216" s="15"/>
      <c r="N216" s="7"/>
    </row>
    <row r="217" spans="1:14">
      <c r="A217" s="8" t="str">
        <f>IF(C217="","",IFERROR(VLOOKUP($E217,códigos!$R:$R,1,FALSE),"NO"))</f>
        <v/>
      </c>
      <c r="C217" s="14"/>
      <c r="H217" s="15"/>
      <c r="N217" s="7"/>
    </row>
    <row r="218" spans="1:14">
      <c r="A218" s="8" t="str">
        <f>IF(C218="","",IFERROR(VLOOKUP($E218,códigos!$R:$R,1,FALSE),"NO"))</f>
        <v/>
      </c>
      <c r="C218" s="14"/>
      <c r="H218" s="15"/>
      <c r="N218" s="7"/>
    </row>
    <row r="219" spans="1:14">
      <c r="A219" s="8" t="str">
        <f>IF(C219="","",IFERROR(VLOOKUP($E219,códigos!$R:$R,1,FALSE),"NO"))</f>
        <v/>
      </c>
      <c r="C219" s="14"/>
      <c r="H219" s="15"/>
      <c r="N219" s="7"/>
    </row>
    <row r="220" spans="1:14">
      <c r="A220" s="8" t="str">
        <f>IF(C220="","",IFERROR(VLOOKUP($E220,códigos!$R:$R,1,FALSE),"NO"))</f>
        <v/>
      </c>
      <c r="C220" s="14"/>
      <c r="H220" s="15"/>
      <c r="N220" s="7"/>
    </row>
    <row r="221" spans="1:14">
      <c r="A221" s="8" t="str">
        <f>IF(C221="","",IFERROR(VLOOKUP($E221,códigos!$R:$R,1,FALSE),"NO"))</f>
        <v/>
      </c>
      <c r="C221" s="14"/>
      <c r="H221" s="15"/>
      <c r="N221" s="7"/>
    </row>
    <row r="222" spans="1:14">
      <c r="A222" s="8" t="str">
        <f>IF(C222="","",IFERROR(VLOOKUP($E222,códigos!$R:$R,1,FALSE),"NO"))</f>
        <v/>
      </c>
      <c r="C222" s="14"/>
      <c r="H222" s="15"/>
      <c r="N222" s="7"/>
    </row>
    <row r="223" spans="1:14">
      <c r="A223" s="8" t="str">
        <f>IF(C223="","",IFERROR(VLOOKUP($E223,códigos!$R:$R,1,FALSE),"NO"))</f>
        <v/>
      </c>
      <c r="C223" s="14"/>
      <c r="H223" s="15"/>
      <c r="N223" s="7"/>
    </row>
    <row r="224" spans="1:14">
      <c r="A224" s="8" t="str">
        <f>IF(C224="","",IFERROR(VLOOKUP($E224,códigos!$R:$R,1,FALSE),"NO"))</f>
        <v/>
      </c>
      <c r="C224" s="14"/>
      <c r="H224" s="15"/>
      <c r="N224" s="7"/>
    </row>
    <row r="225" spans="1:14">
      <c r="A225" s="8" t="str">
        <f>IF(C225="","",IFERROR(VLOOKUP($E225,códigos!$R:$R,1,FALSE),"NO"))</f>
        <v/>
      </c>
      <c r="C225" s="14"/>
      <c r="H225" s="15"/>
      <c r="N225" s="7"/>
    </row>
    <row r="226" spans="1:14">
      <c r="A226" s="8" t="str">
        <f>IF(C226="","",IFERROR(VLOOKUP($E226,códigos!$R:$R,1,FALSE),"NO"))</f>
        <v/>
      </c>
      <c r="C226" s="14"/>
      <c r="H226" s="15"/>
      <c r="N226" s="7"/>
    </row>
    <row r="227" spans="1:14">
      <c r="A227" s="8" t="str">
        <f>IF(C227="","",IFERROR(VLOOKUP($E227,códigos!$R:$R,1,FALSE),"NO"))</f>
        <v/>
      </c>
      <c r="C227" s="14"/>
      <c r="H227" s="15"/>
      <c r="N227" s="7"/>
    </row>
    <row r="228" spans="1:14">
      <c r="A228" s="8" t="str">
        <f>IF(C228="","",IFERROR(VLOOKUP($E228,códigos!$R:$R,1,FALSE),"NO"))</f>
        <v/>
      </c>
      <c r="C228" s="14"/>
      <c r="H228" s="15"/>
      <c r="N228" s="7"/>
    </row>
    <row r="229" spans="1:14">
      <c r="A229" s="8" t="str">
        <f>IF(C229="","",IFERROR(VLOOKUP($E229,códigos!$R:$R,1,FALSE),"NO"))</f>
        <v/>
      </c>
      <c r="C229" s="14"/>
      <c r="H229" s="15"/>
      <c r="N229" s="7"/>
    </row>
    <row r="230" spans="1:14">
      <c r="A230" s="8" t="str">
        <f>IF(C230="","",IFERROR(VLOOKUP($E230,códigos!$R:$R,1,FALSE),"NO"))</f>
        <v/>
      </c>
      <c r="C230" s="14"/>
      <c r="H230" s="15"/>
      <c r="N230" s="7"/>
    </row>
    <row r="231" spans="1:14">
      <c r="A231" s="8" t="str">
        <f>IF(C231="","",IFERROR(VLOOKUP($E231,códigos!$R:$R,1,FALSE),"NO"))</f>
        <v/>
      </c>
      <c r="C231" s="14"/>
      <c r="H231" s="15"/>
    </row>
    <row r="232" spans="1:14">
      <c r="A232" s="8" t="str">
        <f>IF(C232="","",IFERROR(VLOOKUP($E232,códigos!$R:$R,1,FALSE),"NO"))</f>
        <v/>
      </c>
      <c r="C232" s="14"/>
      <c r="H232" s="15"/>
    </row>
    <row r="233" spans="1:14">
      <c r="A233" s="8" t="str">
        <f>IF(C233="","",IFERROR(VLOOKUP($E233,códigos!$R:$R,1,FALSE),"NO"))</f>
        <v/>
      </c>
      <c r="C233" s="14"/>
      <c r="H233" s="15"/>
    </row>
    <row r="234" spans="1:14">
      <c r="A234" s="8" t="str">
        <f>IF(C234="","",IFERROR(VLOOKUP($E234,códigos!$R:$R,1,FALSE),"NO"))</f>
        <v/>
      </c>
      <c r="C234" s="14"/>
      <c r="H234" s="15"/>
    </row>
    <row r="235" spans="1:14">
      <c r="A235" s="8" t="str">
        <f>IF(C235="","",IFERROR(VLOOKUP($E235,códigos!$R:$R,1,FALSE),"NO"))</f>
        <v/>
      </c>
      <c r="C235" s="14"/>
      <c r="H235" s="15"/>
    </row>
    <row r="236" spans="1:14">
      <c r="A236" s="8" t="str">
        <f>IF(C236="","",IFERROR(VLOOKUP($E236,códigos!$R:$R,1,FALSE),"NO"))</f>
        <v/>
      </c>
      <c r="C236" s="14"/>
      <c r="H236" s="15"/>
    </row>
    <row r="237" spans="1:14">
      <c r="A237" s="8" t="str">
        <f>IF(C237="","",IFERROR(VLOOKUP($E237,códigos!$R:$R,1,FALSE),"NO"))</f>
        <v/>
      </c>
      <c r="C237" s="14"/>
      <c r="H237" s="15"/>
    </row>
    <row r="238" spans="1:14">
      <c r="A238" s="8" t="str">
        <f>IF(C238="","",IFERROR(VLOOKUP($E238,códigos!$R:$R,1,FALSE),"NO"))</f>
        <v/>
      </c>
      <c r="C238" s="14"/>
      <c r="H238" s="15"/>
    </row>
    <row r="239" spans="1:14">
      <c r="A239" s="8" t="str">
        <f>IF(C239="","",IFERROR(VLOOKUP($E239,códigos!$R:$R,1,FALSE),"NO"))</f>
        <v/>
      </c>
      <c r="C239" s="14"/>
      <c r="H239" s="15"/>
    </row>
    <row r="240" spans="1:14">
      <c r="A240" s="8" t="str">
        <f>IF(C240="","",IFERROR(VLOOKUP($E240,códigos!$R:$R,1,FALSE),"NO"))</f>
        <v/>
      </c>
      <c r="C240" s="14"/>
      <c r="H240" s="15"/>
    </row>
    <row r="241" spans="1:8">
      <c r="A241" s="8" t="str">
        <f>IF(C241="","",IFERROR(VLOOKUP($E241,códigos!$R:$R,1,FALSE),"NO"))</f>
        <v/>
      </c>
      <c r="C241" s="14"/>
      <c r="H241" s="15"/>
    </row>
    <row r="242" spans="1:8">
      <c r="A242" s="8" t="str">
        <f>IF(C242="","",IFERROR(VLOOKUP($E242,códigos!$R:$R,1,FALSE),"NO"))</f>
        <v/>
      </c>
      <c r="C242" s="14"/>
      <c r="H242" s="15"/>
    </row>
    <row r="243" spans="1:8">
      <c r="A243" s="8" t="str">
        <f>IF(C243="","",IFERROR(VLOOKUP($E243,códigos!$R:$R,1,FALSE),"NO"))</f>
        <v/>
      </c>
      <c r="C243" s="14"/>
      <c r="H243" s="15"/>
    </row>
    <row r="244" spans="1:8">
      <c r="A244" s="8" t="str">
        <f>IF(C244="","",IFERROR(VLOOKUP($E244,códigos!$R:$R,1,FALSE),"NO"))</f>
        <v/>
      </c>
      <c r="C244" s="14"/>
      <c r="H244" s="15"/>
    </row>
    <row r="245" spans="1:8">
      <c r="A245" s="8" t="str">
        <f>IF(C245="","",IFERROR(VLOOKUP($E245,códigos!$R:$R,1,FALSE),"NO"))</f>
        <v/>
      </c>
      <c r="C245" s="14"/>
      <c r="H245" s="15"/>
    </row>
    <row r="246" spans="1:8">
      <c r="A246" s="8" t="str">
        <f>IF(C246="","",IFERROR(VLOOKUP($E246,códigos!$R:$R,1,FALSE),"NO"))</f>
        <v/>
      </c>
      <c r="C246" s="14"/>
      <c r="H246" s="15"/>
    </row>
    <row r="247" spans="1:8">
      <c r="A247" s="8" t="str">
        <f>IF(C247="","",IFERROR(VLOOKUP($E247,códigos!$R:$R,1,FALSE),"NO"))</f>
        <v/>
      </c>
      <c r="C247" s="14"/>
      <c r="H247" s="15"/>
    </row>
    <row r="248" spans="1:8">
      <c r="A248" s="8" t="str">
        <f>IF(C248="","",IFERROR(VLOOKUP($E248,códigos!$R:$R,1,FALSE),"NO"))</f>
        <v/>
      </c>
      <c r="C248" s="14"/>
      <c r="H248" s="15"/>
    </row>
    <row r="249" spans="1:8">
      <c r="A249" s="8" t="str">
        <f>IF(C249="","",IFERROR(VLOOKUP($E249,códigos!$R:$R,1,FALSE),"NO"))</f>
        <v/>
      </c>
      <c r="C249" s="14"/>
      <c r="H249" s="15"/>
    </row>
    <row r="250" spans="1:8">
      <c r="A250" s="8" t="str">
        <f>IF(C250="","",IFERROR(VLOOKUP($E250,códigos!$R:$R,1,FALSE),"NO"))</f>
        <v/>
      </c>
      <c r="C250" s="14"/>
      <c r="H250" s="15"/>
    </row>
    <row r="251" spans="1:8">
      <c r="A251" s="8" t="str">
        <f>IF(C251="","",IFERROR(VLOOKUP($E251,códigos!$R:$R,1,FALSE),"NO"))</f>
        <v/>
      </c>
      <c r="C251" s="14"/>
      <c r="H251" s="15"/>
    </row>
    <row r="252" spans="1:8">
      <c r="A252" s="8" t="str">
        <f>IF(C252="","",IFERROR(VLOOKUP($E252,códigos!$R:$R,1,FALSE),"NO"))</f>
        <v/>
      </c>
      <c r="C252" s="14"/>
      <c r="H252" s="15"/>
    </row>
    <row r="253" spans="1:8">
      <c r="A253" s="8" t="str">
        <f>IF(C253="","",IFERROR(VLOOKUP($E253,códigos!$R:$R,1,FALSE),"NO"))</f>
        <v/>
      </c>
      <c r="C253" s="14"/>
      <c r="H253" s="15"/>
    </row>
    <row r="254" spans="1:8">
      <c r="A254" s="8" t="str">
        <f>IF(C254="","",IFERROR(VLOOKUP($E254,códigos!$R:$R,1,FALSE),"NO"))</f>
        <v/>
      </c>
      <c r="C254" s="14"/>
      <c r="H254" s="15"/>
    </row>
    <row r="255" spans="1:8">
      <c r="A255" s="8" t="str">
        <f>IF(C255="","",IFERROR(VLOOKUP($E255,códigos!$R:$R,1,FALSE),"NO"))</f>
        <v/>
      </c>
      <c r="C255" s="14"/>
      <c r="H255" s="15"/>
    </row>
    <row r="256" spans="1:8">
      <c r="A256" s="8" t="str">
        <f>IF(C256="","",IFERROR(VLOOKUP($E256,códigos!$R:$R,1,FALSE),"NO"))</f>
        <v/>
      </c>
      <c r="C256" s="14"/>
      <c r="H256" s="15"/>
    </row>
    <row r="257" spans="1:8">
      <c r="A257" s="8" t="str">
        <f>IF(C257="","",IFERROR(VLOOKUP($E257,códigos!$R:$R,1,FALSE),"NO"))</f>
        <v/>
      </c>
      <c r="C257" s="14"/>
      <c r="H257" s="15"/>
    </row>
    <row r="258" spans="1:8">
      <c r="A258" s="8" t="str">
        <f>IF(C258="","",IFERROR(VLOOKUP($E258,códigos!$R:$R,1,FALSE),"NO"))</f>
        <v/>
      </c>
      <c r="C258" s="14"/>
      <c r="H258" s="15"/>
    </row>
    <row r="259" spans="1:8">
      <c r="A259" s="8" t="str">
        <f>IF(C259="","",IFERROR(VLOOKUP($E259,códigos!$R:$R,1,FALSE),"NO"))</f>
        <v/>
      </c>
      <c r="C259" s="14"/>
      <c r="H259" s="15"/>
    </row>
    <row r="260" spans="1:8">
      <c r="A260" s="8" t="str">
        <f>IF(C260="","",IFERROR(VLOOKUP($E260,códigos!$R:$R,1,FALSE),"NO"))</f>
        <v/>
      </c>
      <c r="C260" s="14"/>
      <c r="H260" s="15"/>
    </row>
    <row r="261" spans="1:8">
      <c r="A261" s="8" t="str">
        <f>IF(C261="","",IFERROR(VLOOKUP($E261,códigos!$R:$R,1,FALSE),"NO"))</f>
        <v/>
      </c>
      <c r="C261" s="14"/>
      <c r="H261" s="15"/>
    </row>
    <row r="262" spans="1:8">
      <c r="A262" s="8" t="str">
        <f>IF(C262="","",IFERROR(VLOOKUP($E262,códigos!$R:$R,1,FALSE),"NO"))</f>
        <v/>
      </c>
      <c r="C262" s="14"/>
      <c r="H262" s="15"/>
    </row>
    <row r="263" spans="1:8">
      <c r="A263" s="8" t="str">
        <f>IF(C263="","",IFERROR(VLOOKUP($E263,códigos!$R:$R,1,FALSE),"NO"))</f>
        <v/>
      </c>
      <c r="C263" s="14"/>
      <c r="H263" s="15"/>
    </row>
    <row r="264" spans="1:8">
      <c r="A264" s="8" t="str">
        <f>IF(C264="","",IFERROR(VLOOKUP($E264,códigos!$R:$R,1,FALSE),"NO"))</f>
        <v/>
      </c>
      <c r="C264" s="14"/>
      <c r="H264" s="15"/>
    </row>
    <row r="265" spans="1:8">
      <c r="A265" s="8" t="str">
        <f>IF(C265="","",IFERROR(VLOOKUP($E265,códigos!$R:$R,1,FALSE),"NO"))</f>
        <v/>
      </c>
      <c r="C265" s="14"/>
      <c r="H265" s="15"/>
    </row>
    <row r="266" spans="1:8">
      <c r="A266" s="8" t="str">
        <f>IF(C266="","",IFERROR(VLOOKUP($E266,códigos!$R:$R,1,FALSE),"NO"))</f>
        <v/>
      </c>
      <c r="C266" s="14"/>
      <c r="H266" s="15"/>
    </row>
    <row r="267" spans="1:8">
      <c r="A267" s="8" t="str">
        <f>IF(C267="","",IFERROR(VLOOKUP($E267,códigos!$R:$R,1,FALSE),"NO"))</f>
        <v/>
      </c>
      <c r="C267" s="14"/>
      <c r="H267" s="15"/>
    </row>
    <row r="268" spans="1:8">
      <c r="A268" s="8"/>
      <c r="C268" s="14"/>
      <c r="H268" s="15"/>
    </row>
    <row r="269" spans="1:8">
      <c r="A269" s="8"/>
      <c r="C269" s="14"/>
      <c r="H269" s="15"/>
    </row>
    <row r="270" spans="1:8">
      <c r="A270" s="8"/>
      <c r="C270" s="14"/>
      <c r="H270" s="15"/>
    </row>
    <row r="271" spans="1:8">
      <c r="A271" s="8"/>
      <c r="C271" s="14"/>
      <c r="H271" s="15"/>
    </row>
    <row r="272" spans="1:8">
      <c r="A272" s="8"/>
      <c r="C272" s="14"/>
      <c r="H272" s="15"/>
    </row>
    <row r="273" spans="1:8">
      <c r="A273" s="8"/>
      <c r="C273" s="14"/>
      <c r="H273" s="15"/>
    </row>
    <row r="274" spans="1:8">
      <c r="A274" s="8"/>
      <c r="C274" s="14"/>
      <c r="H274" s="15"/>
    </row>
    <row r="275" spans="1:8">
      <c r="A275" s="8"/>
      <c r="C275" s="14"/>
      <c r="H275" s="15"/>
    </row>
    <row r="276" spans="1:8">
      <c r="A276" s="8"/>
      <c r="C276" s="14"/>
      <c r="H276" s="15"/>
    </row>
    <row r="277" spans="1:8">
      <c r="A277" s="8"/>
      <c r="C277" s="14"/>
      <c r="H277" s="15"/>
    </row>
    <row r="278" spans="1:8">
      <c r="A278" s="8"/>
      <c r="C278" s="14"/>
      <c r="H278" s="15"/>
    </row>
    <row r="279" spans="1:8">
      <c r="A279" s="8"/>
      <c r="C279" s="14"/>
      <c r="H279" s="15"/>
    </row>
    <row r="280" spans="1:8">
      <c r="A280" s="8"/>
      <c r="C280" s="14"/>
      <c r="H280" s="15"/>
    </row>
    <row r="281" spans="1:8">
      <c r="A281" s="8"/>
      <c r="C281" s="14"/>
      <c r="H281" s="15"/>
    </row>
    <row r="282" spans="1:8">
      <c r="A282" s="8"/>
      <c r="C282" s="14"/>
      <c r="H282" s="15"/>
    </row>
    <row r="283" spans="1:8">
      <c r="A283" s="8"/>
      <c r="C283" s="14"/>
      <c r="H283" s="15"/>
    </row>
    <row r="284" spans="1:8">
      <c r="A284" s="8"/>
      <c r="C284" s="14"/>
      <c r="H284" s="15"/>
    </row>
    <row r="285" spans="1:8">
      <c r="A285" s="8"/>
      <c r="C285" s="14"/>
      <c r="H285" s="15"/>
    </row>
    <row r="286" spans="1:8">
      <c r="A286" s="8"/>
      <c r="C286" s="14"/>
      <c r="H286" s="15"/>
    </row>
    <row r="287" spans="1:8">
      <c r="A287" s="8"/>
      <c r="C287" s="14"/>
      <c r="H287" s="15"/>
    </row>
    <row r="288" spans="1:8">
      <c r="A288" s="8"/>
      <c r="C288" s="14"/>
      <c r="H288" s="15"/>
    </row>
    <row r="289" spans="1:8">
      <c r="A289" s="8"/>
      <c r="C289" s="14"/>
      <c r="H289" s="15"/>
    </row>
    <row r="290" spans="1:8">
      <c r="A290" s="8"/>
      <c r="C290" s="14"/>
      <c r="H290" s="15"/>
    </row>
    <row r="291" spans="1:8">
      <c r="A291" s="8"/>
      <c r="C291" s="14"/>
      <c r="H291" s="15"/>
    </row>
    <row r="292" spans="1:8">
      <c r="A292" s="8"/>
      <c r="C292" s="14"/>
      <c r="H292" s="15"/>
    </row>
    <row r="293" spans="1:8">
      <c r="A293" s="8"/>
      <c r="C293" s="14"/>
      <c r="H293" s="15"/>
    </row>
    <row r="294" spans="1:8">
      <c r="A294" s="8"/>
      <c r="C294" s="14"/>
      <c r="H294" s="15"/>
    </row>
    <row r="295" spans="1:8">
      <c r="A295" s="8"/>
      <c r="C295" s="14"/>
      <c r="H295" s="15"/>
    </row>
    <row r="296" spans="1:8">
      <c r="A296" s="8"/>
      <c r="C296" s="14"/>
      <c r="H296" s="15"/>
    </row>
    <row r="297" spans="1:8">
      <c r="A297" s="8"/>
      <c r="C297" s="14"/>
      <c r="H297" s="15"/>
    </row>
    <row r="298" spans="1:8">
      <c r="A298" s="8"/>
      <c r="C298" s="14"/>
      <c r="H298" s="15"/>
    </row>
    <row r="299" spans="1:8">
      <c r="A299" s="8"/>
      <c r="C299" s="14"/>
      <c r="H299" s="15"/>
    </row>
    <row r="300" spans="1:8">
      <c r="A300" s="8"/>
      <c r="C300" s="14"/>
      <c r="H300" s="15"/>
    </row>
    <row r="301" spans="1:8">
      <c r="A301" s="8"/>
      <c r="C301" s="14"/>
      <c r="H301" s="15"/>
    </row>
    <row r="302" spans="1:8">
      <c r="A302" s="8"/>
      <c r="C302" s="14"/>
      <c r="H302" s="15"/>
    </row>
    <row r="303" spans="1:8">
      <c r="A303" s="8"/>
      <c r="C303" s="14"/>
      <c r="H303" s="15"/>
    </row>
    <row r="304" spans="1:8">
      <c r="A304" s="8"/>
      <c r="C304" s="14"/>
      <c r="H304" s="15"/>
    </row>
    <row r="305" spans="1:8">
      <c r="A305" s="8"/>
      <c r="C305" s="14"/>
      <c r="H305" s="15"/>
    </row>
    <row r="306" spans="1:8">
      <c r="A306" s="8"/>
      <c r="C306" s="14"/>
      <c r="H306" s="15"/>
    </row>
    <row r="307" spans="1:8">
      <c r="A307" s="8"/>
      <c r="C307" s="14"/>
      <c r="H307" s="15"/>
    </row>
    <row r="308" spans="1:8">
      <c r="A308" s="8"/>
      <c r="C308" s="14"/>
      <c r="H308" s="15"/>
    </row>
    <row r="309" spans="1:8">
      <c r="A309" s="8"/>
      <c r="C309" s="14"/>
      <c r="H309" s="15"/>
    </row>
    <row r="310" spans="1:8">
      <c r="A310" s="8"/>
      <c r="C310" s="14"/>
      <c r="H310" s="15"/>
    </row>
    <row r="311" spans="1:8">
      <c r="A311" s="8"/>
      <c r="C311" s="14"/>
      <c r="H311" s="15"/>
    </row>
    <row r="312" spans="1:8">
      <c r="A312" s="8"/>
      <c r="C312" s="14"/>
      <c r="H312" s="15"/>
    </row>
    <row r="313" spans="1:8">
      <c r="A313" s="8"/>
      <c r="C313" s="14"/>
      <c r="H313" s="15"/>
    </row>
    <row r="314" spans="1:8">
      <c r="A314" s="8"/>
      <c r="C314" s="14"/>
      <c r="H314" s="15"/>
    </row>
    <row r="315" spans="1:8">
      <c r="A315" s="8"/>
      <c r="C315" s="14"/>
      <c r="H315" s="15"/>
    </row>
    <row r="316" spans="1:8">
      <c r="A316" s="8"/>
      <c r="C316" s="14"/>
      <c r="H316" s="15"/>
    </row>
    <row r="317" spans="1:8">
      <c r="A317" s="8"/>
      <c r="C317" s="14"/>
      <c r="H317" s="15"/>
    </row>
    <row r="318" spans="1:8">
      <c r="A318" s="8"/>
      <c r="C318" s="14"/>
      <c r="H318" s="15"/>
    </row>
    <row r="319" spans="1:8">
      <c r="A319" s="8"/>
      <c r="C319" s="14"/>
      <c r="H319" s="15"/>
    </row>
    <row r="320" spans="1:8">
      <c r="A320" s="8"/>
      <c r="C320" s="14"/>
      <c r="H320" s="15"/>
    </row>
    <row r="321" spans="1:8">
      <c r="A321" s="8"/>
      <c r="C321" s="14"/>
      <c r="H321" s="15"/>
    </row>
    <row r="322" spans="1:8">
      <c r="A322" s="8"/>
      <c r="C322" s="14"/>
      <c r="H322" s="15"/>
    </row>
    <row r="323" spans="1:8">
      <c r="A323" s="8"/>
      <c r="C323" s="14"/>
      <c r="H323" s="15"/>
    </row>
    <row r="324" spans="1:8">
      <c r="A324" s="8"/>
      <c r="C324" s="14"/>
      <c r="H324" s="15"/>
    </row>
    <row r="325" spans="1:8">
      <c r="A325" s="8"/>
      <c r="C325" s="14"/>
      <c r="H325" s="15"/>
    </row>
    <row r="326" spans="1:8">
      <c r="A326" s="8"/>
      <c r="C326" s="14"/>
      <c r="H326" s="15"/>
    </row>
    <row r="327" spans="1:8">
      <c r="A327" s="8"/>
      <c r="C327" s="14"/>
      <c r="H327" s="15"/>
    </row>
    <row r="328" spans="1:8">
      <c r="A328" s="8"/>
      <c r="C328" s="14"/>
      <c r="H328" s="15"/>
    </row>
    <row r="329" spans="1:8">
      <c r="A329" s="8"/>
      <c r="C329" s="14"/>
      <c r="H329" s="15"/>
    </row>
    <row r="330" spans="1:8">
      <c r="A330" s="8"/>
      <c r="C330" s="14"/>
      <c r="H330" s="15"/>
    </row>
    <row r="331" spans="1:8">
      <c r="A331" s="8"/>
      <c r="C331" s="14"/>
      <c r="H331" s="15"/>
    </row>
    <row r="332" spans="1:8">
      <c r="A332" s="8"/>
      <c r="C332" s="14"/>
      <c r="H332" s="15"/>
    </row>
    <row r="333" spans="1:8">
      <c r="A333" s="8"/>
      <c r="C333" s="14"/>
      <c r="H333" s="15"/>
    </row>
    <row r="334" spans="1:8">
      <c r="A334" s="8"/>
      <c r="C334" s="14"/>
      <c r="H334" s="15"/>
    </row>
    <row r="335" spans="1:8">
      <c r="A335" s="8"/>
      <c r="C335" s="14"/>
      <c r="H335" s="15"/>
    </row>
    <row r="336" spans="1:8">
      <c r="A336" s="8"/>
      <c r="C336" s="14"/>
      <c r="H336" s="15"/>
    </row>
    <row r="337" spans="1:8">
      <c r="A337" s="8"/>
      <c r="C337" s="14"/>
      <c r="H337" s="15"/>
    </row>
    <row r="338" spans="1:8">
      <c r="A338" s="8"/>
      <c r="C338" s="14"/>
      <c r="H338" s="15"/>
    </row>
    <row r="339" spans="1:8">
      <c r="A339" s="8"/>
      <c r="C339" s="14"/>
      <c r="H339" s="15"/>
    </row>
    <row r="340" spans="1:8">
      <c r="A340" s="8"/>
      <c r="C340" s="14"/>
      <c r="H340" s="15"/>
    </row>
    <row r="341" spans="1:8">
      <c r="A341" s="8"/>
      <c r="C341" s="14"/>
      <c r="H341" s="15"/>
    </row>
    <row r="342" spans="1:8">
      <c r="A342" s="8"/>
      <c r="C342" s="14"/>
      <c r="H342" s="15"/>
    </row>
    <row r="343" spans="1:8">
      <c r="A343" s="8"/>
      <c r="C343" s="14"/>
      <c r="H343" s="15"/>
    </row>
    <row r="344" spans="1:8">
      <c r="A344" s="8"/>
      <c r="C344" s="14"/>
      <c r="H344" s="15"/>
    </row>
    <row r="345" spans="1:8">
      <c r="A345" s="8"/>
      <c r="C345" s="14"/>
      <c r="H345" s="15"/>
    </row>
    <row r="346" spans="1:8">
      <c r="A346" s="8"/>
      <c r="C346" s="14"/>
      <c r="H346" s="15"/>
    </row>
    <row r="347" spans="1:8">
      <c r="A347" s="8"/>
      <c r="C347" s="14"/>
      <c r="H347" s="15"/>
    </row>
    <row r="348" spans="1:8">
      <c r="A348" s="8"/>
      <c r="C348" s="14"/>
      <c r="H348" s="15"/>
    </row>
    <row r="349" spans="1:8">
      <c r="A349" s="8"/>
      <c r="C349" s="14"/>
      <c r="H349" s="15"/>
    </row>
    <row r="350" spans="1:8">
      <c r="A350" s="8"/>
      <c r="C350" s="14"/>
      <c r="H350" s="15"/>
    </row>
    <row r="351" spans="1:8">
      <c r="A351" s="8"/>
      <c r="C351" s="14"/>
      <c r="H351" s="15"/>
    </row>
    <row r="352" spans="1:8">
      <c r="A352" s="8"/>
      <c r="C352" s="14"/>
      <c r="H352" s="15"/>
    </row>
    <row r="353" spans="1:8">
      <c r="A353" s="8"/>
      <c r="C353" s="14"/>
      <c r="H353" s="15"/>
    </row>
    <row r="354" spans="1:8">
      <c r="A354" s="8"/>
      <c r="C354" s="14"/>
      <c r="H354" s="15"/>
    </row>
    <row r="355" spans="1:8">
      <c r="A355" s="8"/>
      <c r="C355" s="14"/>
      <c r="H355" s="15"/>
    </row>
    <row r="356" spans="1:8">
      <c r="A356" s="8"/>
      <c r="C356" s="14"/>
      <c r="H356" s="15"/>
    </row>
    <row r="357" spans="1:8">
      <c r="A357" s="8"/>
      <c r="C357" s="14"/>
      <c r="H357" s="15"/>
    </row>
    <row r="358" spans="1:8">
      <c r="A358" s="8"/>
      <c r="C358" s="14"/>
      <c r="H358" s="15"/>
    </row>
    <row r="359" spans="1:8">
      <c r="A359" s="8"/>
      <c r="C359" s="14"/>
      <c r="H359" s="15"/>
    </row>
    <row r="360" spans="1:8">
      <c r="A360" s="8"/>
      <c r="C360" s="14"/>
      <c r="H360" s="15"/>
    </row>
    <row r="361" spans="1:8">
      <c r="A361" s="8"/>
      <c r="C361" s="14"/>
      <c r="H361" s="15"/>
    </row>
    <row r="362" spans="1:8">
      <c r="A362" s="8"/>
      <c r="C362" s="14"/>
      <c r="H362" s="15"/>
    </row>
    <row r="363" spans="1:8">
      <c r="A363" s="8"/>
      <c r="C363" s="14"/>
      <c r="H363" s="15"/>
    </row>
    <row r="364" spans="1:8">
      <c r="A364" s="8"/>
      <c r="C364" s="14"/>
      <c r="H364" s="15"/>
    </row>
    <row r="365" spans="1:8">
      <c r="A365" s="8"/>
      <c r="C365" s="14"/>
      <c r="H365" s="15"/>
    </row>
    <row r="366" spans="1:8">
      <c r="A366" s="8"/>
      <c r="C366" s="14"/>
      <c r="H366" s="15"/>
    </row>
    <row r="367" spans="1:8">
      <c r="A367" s="8"/>
      <c r="C367" s="14"/>
      <c r="H367" s="15"/>
    </row>
    <row r="368" spans="1:8">
      <c r="A368" s="8"/>
      <c r="C368" s="14"/>
      <c r="H368" s="15"/>
    </row>
    <row r="369" spans="1:8">
      <c r="A369" s="8"/>
      <c r="C369" s="14"/>
      <c r="H369" s="15"/>
    </row>
    <row r="370" spans="1:8">
      <c r="A370" s="8"/>
      <c r="C370" s="14"/>
      <c r="H370" s="15"/>
    </row>
    <row r="371" spans="1:8">
      <c r="A371" s="8"/>
      <c r="C371" s="14"/>
      <c r="H371" s="15"/>
    </row>
    <row r="372" spans="1:8">
      <c r="A372" s="8"/>
      <c r="C372" s="14"/>
      <c r="H372" s="15"/>
    </row>
    <row r="373" spans="1:8">
      <c r="A373" s="8"/>
      <c r="C373" s="14"/>
      <c r="H373" s="15"/>
    </row>
    <row r="374" spans="1:8">
      <c r="A374" s="8"/>
      <c r="C374" s="14"/>
      <c r="H374" s="15"/>
    </row>
    <row r="375" spans="1:8">
      <c r="A375" s="8"/>
      <c r="C375" s="14"/>
      <c r="H375" s="15"/>
    </row>
    <row r="376" spans="1:8">
      <c r="A376" s="8"/>
      <c r="C376" s="14"/>
      <c r="H376" s="15"/>
    </row>
    <row r="377" spans="1:8">
      <c r="A377" s="8"/>
      <c r="C377" s="14"/>
      <c r="H377" s="15"/>
    </row>
    <row r="378" spans="1:8">
      <c r="A378" s="8"/>
      <c r="C378" s="14"/>
      <c r="H378" s="15"/>
    </row>
    <row r="379" spans="1:8">
      <c r="A379" s="8"/>
      <c r="C379" s="14"/>
      <c r="H379" s="15"/>
    </row>
    <row r="380" spans="1:8">
      <c r="A380" s="8"/>
      <c r="C380" s="14"/>
      <c r="H380" s="15"/>
    </row>
    <row r="381" spans="1:8">
      <c r="A381" s="8"/>
      <c r="C381" s="14"/>
      <c r="H381" s="15"/>
    </row>
    <row r="382" spans="1:8">
      <c r="A382" s="8"/>
      <c r="C382" s="14"/>
      <c r="H382" s="15"/>
    </row>
    <row r="383" spans="1:8">
      <c r="A383" s="8"/>
      <c r="C383" s="14"/>
      <c r="H383" s="15"/>
    </row>
    <row r="384" spans="1:8">
      <c r="A384" s="8"/>
      <c r="C384" s="14"/>
      <c r="H384" s="15"/>
    </row>
    <row r="385" spans="1:8">
      <c r="A385" s="8"/>
      <c r="C385" s="14"/>
      <c r="H385" s="15"/>
    </row>
    <row r="386" spans="1:8">
      <c r="A386" s="8"/>
      <c r="C386" s="14"/>
      <c r="H386" s="15"/>
    </row>
    <row r="387" spans="1:8">
      <c r="A387" s="8"/>
      <c r="C387" s="14"/>
      <c r="H387" s="15"/>
    </row>
    <row r="388" spans="1:8">
      <c r="A388" s="8"/>
      <c r="C388" s="14"/>
      <c r="H388" s="15"/>
    </row>
    <row r="389" spans="1:8">
      <c r="A389" s="8"/>
      <c r="C389" s="14"/>
      <c r="H389" s="15"/>
    </row>
    <row r="390" spans="1:8">
      <c r="A390" s="8"/>
      <c r="C390" s="14"/>
      <c r="H390" s="15"/>
    </row>
    <row r="391" spans="1:8">
      <c r="A391" s="8"/>
      <c r="C391" s="14"/>
      <c r="H391" s="15"/>
    </row>
    <row r="392" spans="1:8">
      <c r="A392" s="8"/>
      <c r="C392" s="14"/>
      <c r="H392" s="15"/>
    </row>
    <row r="393" spans="1:8">
      <c r="A393" s="8"/>
      <c r="C393" s="14"/>
      <c r="H393" s="15"/>
    </row>
    <row r="394" spans="1:8">
      <c r="A394" s="8"/>
      <c r="C394" s="14"/>
      <c r="H394" s="15"/>
    </row>
    <row r="395" spans="1:8">
      <c r="A395" s="8"/>
      <c r="C395" s="14"/>
      <c r="H395" s="15"/>
    </row>
    <row r="396" spans="1:8">
      <c r="A396" s="8"/>
      <c r="C396" s="14"/>
      <c r="H396" s="15"/>
    </row>
    <row r="397" spans="1:8">
      <c r="A397" s="8"/>
      <c r="C397" s="14"/>
      <c r="H397" s="15"/>
    </row>
    <row r="398" spans="1:8">
      <c r="A398" s="8"/>
      <c r="C398" s="14"/>
      <c r="H398" s="15"/>
    </row>
    <row r="399" spans="1:8">
      <c r="A399" s="8"/>
      <c r="C399" s="14"/>
      <c r="H399" s="15"/>
    </row>
    <row r="400" spans="1:8">
      <c r="A400" s="8"/>
      <c r="C400" s="14"/>
      <c r="H400" s="15"/>
    </row>
    <row r="401" spans="1:8">
      <c r="A401" s="8"/>
      <c r="C401" s="14"/>
      <c r="H401" s="15"/>
    </row>
    <row r="402" spans="1:8">
      <c r="A402" s="8"/>
      <c r="C402" s="14"/>
      <c r="H402" s="15"/>
    </row>
    <row r="403" spans="1:8">
      <c r="A403" s="8"/>
      <c r="C403" s="14"/>
      <c r="H403" s="15"/>
    </row>
    <row r="404" spans="1:8">
      <c r="A404" s="8"/>
      <c r="C404" s="14"/>
      <c r="H404" s="15"/>
    </row>
    <row r="405" spans="1:8">
      <c r="A405" s="8"/>
      <c r="C405" s="14"/>
      <c r="H405" s="15"/>
    </row>
    <row r="406" spans="1:8">
      <c r="A406" s="8"/>
      <c r="C406" s="14"/>
      <c r="H406" s="15"/>
    </row>
    <row r="407" spans="1:8">
      <c r="A407" s="8"/>
      <c r="C407" s="14"/>
      <c r="H407" s="15"/>
    </row>
    <row r="408" spans="1:8">
      <c r="A408" s="8"/>
      <c r="C408" s="14"/>
      <c r="H408" s="15"/>
    </row>
    <row r="409" spans="1:8">
      <c r="A409" s="8"/>
      <c r="C409" s="14"/>
      <c r="H409" s="15"/>
    </row>
    <row r="410" spans="1:8">
      <c r="A410" s="8"/>
      <c r="C410" s="14"/>
      <c r="H410" s="15"/>
    </row>
    <row r="411" spans="1:8">
      <c r="A411" s="8"/>
      <c r="C411" s="14"/>
      <c r="H411" s="15"/>
    </row>
    <row r="412" spans="1:8">
      <c r="A412" s="8"/>
      <c r="C412" s="14"/>
      <c r="H412" s="15"/>
    </row>
    <row r="413" spans="1:8">
      <c r="A413" s="8"/>
      <c r="C413" s="14"/>
      <c r="H413" s="15"/>
    </row>
    <row r="414" spans="1:8">
      <c r="A414" s="8"/>
      <c r="C414" s="14"/>
      <c r="H414" s="15"/>
    </row>
    <row r="415" spans="1:8">
      <c r="A415" s="8"/>
      <c r="C415" s="14"/>
      <c r="H415" s="15"/>
    </row>
    <row r="416" spans="1:8">
      <c r="A416" s="8"/>
      <c r="C416" s="14"/>
      <c r="H416" s="15"/>
    </row>
    <row r="417" spans="1:8">
      <c r="A417" s="8"/>
      <c r="C417" s="14"/>
      <c r="H417" s="15"/>
    </row>
    <row r="418" spans="1:8">
      <c r="A418" s="8"/>
      <c r="C418" s="14"/>
      <c r="H418" s="15"/>
    </row>
    <row r="419" spans="1:8">
      <c r="A419" s="8"/>
      <c r="C419" s="14"/>
      <c r="H419" s="15"/>
    </row>
    <row r="420" spans="1:8">
      <c r="A420" s="8"/>
      <c r="C420" s="14"/>
      <c r="H420" s="15"/>
    </row>
    <row r="421" spans="1:8">
      <c r="A421" s="8"/>
      <c r="C421" s="14"/>
      <c r="H421" s="15"/>
    </row>
    <row r="422" spans="1:8">
      <c r="A422" s="8"/>
      <c r="C422" s="14"/>
      <c r="H422" s="15"/>
    </row>
    <row r="423" spans="1:8">
      <c r="A423" s="8"/>
      <c r="C423" s="14"/>
      <c r="H423" s="15"/>
    </row>
    <row r="424" spans="1:8">
      <c r="A424" s="8"/>
      <c r="C424" s="14"/>
      <c r="H424" s="15"/>
    </row>
    <row r="425" spans="1:8">
      <c r="A425" s="8"/>
      <c r="C425" s="14"/>
      <c r="H425" s="15"/>
    </row>
    <row r="426" spans="1:8">
      <c r="A426" s="8"/>
      <c r="C426" s="14"/>
      <c r="H426" s="15"/>
    </row>
    <row r="427" spans="1:8">
      <c r="A427" s="8"/>
      <c r="C427" s="14"/>
      <c r="H427" s="15"/>
    </row>
    <row r="428" spans="1:8">
      <c r="A428" s="8"/>
      <c r="C428" s="14"/>
      <c r="H428" s="15"/>
    </row>
    <row r="429" spans="1:8">
      <c r="A429" s="8"/>
      <c r="C429" s="14"/>
      <c r="H429" s="15"/>
    </row>
    <row r="430" spans="1:8">
      <c r="A430" s="8"/>
      <c r="C430" s="14"/>
      <c r="H430" s="15"/>
    </row>
    <row r="431" spans="1:8">
      <c r="A431" s="8"/>
      <c r="C431" s="14"/>
      <c r="H431" s="15"/>
    </row>
    <row r="432" spans="1:8">
      <c r="A432" s="8"/>
      <c r="C432" s="14"/>
      <c r="H432" s="15"/>
    </row>
    <row r="433" spans="1:8">
      <c r="A433" s="8"/>
      <c r="C433" s="14"/>
      <c r="H433" s="15"/>
    </row>
    <row r="434" spans="1:8">
      <c r="A434" s="8"/>
      <c r="C434" s="14"/>
      <c r="H434" s="15"/>
    </row>
    <row r="435" spans="1:8">
      <c r="A435" s="8"/>
      <c r="C435" s="14"/>
      <c r="H435" s="15"/>
    </row>
    <row r="436" spans="1:8">
      <c r="A436" s="8"/>
      <c r="C436" s="14"/>
      <c r="H436" s="15"/>
    </row>
    <row r="437" spans="1:8">
      <c r="A437" s="8"/>
      <c r="C437" s="14"/>
      <c r="H437" s="15"/>
    </row>
    <row r="438" spans="1:8">
      <c r="A438" s="8"/>
      <c r="C438" s="14"/>
      <c r="H438" s="15"/>
    </row>
    <row r="439" spans="1:8">
      <c r="A439" s="8"/>
      <c r="C439" s="14"/>
      <c r="H439" s="15"/>
    </row>
    <row r="440" spans="1:8">
      <c r="A440" s="8"/>
      <c r="C440" s="14"/>
      <c r="H440" s="15"/>
    </row>
    <row r="441" spans="1:8">
      <c r="A441" s="8"/>
      <c r="C441" s="14"/>
      <c r="H441" s="15"/>
    </row>
    <row r="442" spans="1:8">
      <c r="A442" s="8"/>
      <c r="C442" s="14"/>
      <c r="H442" s="15"/>
    </row>
    <row r="443" spans="1:8">
      <c r="A443" s="8"/>
      <c r="C443" s="14"/>
      <c r="H443" s="15"/>
    </row>
    <row r="444" spans="1:8">
      <c r="A444" s="8"/>
      <c r="C444" s="14"/>
      <c r="H444" s="15"/>
    </row>
    <row r="445" spans="1:8">
      <c r="A445" s="8"/>
      <c r="C445" s="14"/>
      <c r="H445" s="15"/>
    </row>
    <row r="446" spans="1:8">
      <c r="A446" s="8"/>
      <c r="C446" s="14"/>
      <c r="H446" s="15"/>
    </row>
    <row r="447" spans="1:8">
      <c r="A447" s="8"/>
      <c r="C447" s="14"/>
      <c r="H447" s="15"/>
    </row>
    <row r="448" spans="1:8">
      <c r="A448" s="8"/>
      <c r="C448" s="14"/>
      <c r="H448" s="15"/>
    </row>
    <row r="449" spans="1:8">
      <c r="A449" s="8"/>
      <c r="C449" s="14"/>
      <c r="H449" s="15"/>
    </row>
    <row r="450" spans="1:8">
      <c r="A450" s="8"/>
      <c r="C450" s="14"/>
      <c r="H450" s="15"/>
    </row>
    <row r="451" spans="1:8">
      <c r="A451" s="8"/>
      <c r="C451" s="14"/>
      <c r="H451" s="15"/>
    </row>
    <row r="452" spans="1:8">
      <c r="A452" s="8"/>
      <c r="C452" s="14"/>
      <c r="H452" s="15"/>
    </row>
    <row r="453" spans="1:8">
      <c r="A453" s="8"/>
      <c r="C453" s="14"/>
      <c r="H453" s="15"/>
    </row>
    <row r="454" spans="1:8">
      <c r="A454" s="8"/>
      <c r="C454" s="14"/>
      <c r="H454" s="15"/>
    </row>
    <row r="455" spans="1:8">
      <c r="A455" s="8"/>
      <c r="C455" s="14"/>
      <c r="H455" s="15"/>
    </row>
    <row r="456" spans="1:8">
      <c r="A456" s="8"/>
      <c r="C456" s="14"/>
      <c r="H456" s="15"/>
    </row>
    <row r="457" spans="1:8">
      <c r="A457" s="8"/>
      <c r="C457" s="14"/>
      <c r="H457" s="15"/>
    </row>
    <row r="458" spans="1:8">
      <c r="A458" s="8"/>
      <c r="C458" s="14"/>
      <c r="H458" s="15"/>
    </row>
    <row r="459" spans="1:8">
      <c r="A459" s="8"/>
      <c r="C459" s="14"/>
      <c r="H459" s="15"/>
    </row>
    <row r="460" spans="1:8">
      <c r="A460" s="8"/>
      <c r="C460" s="14"/>
      <c r="H460" s="15"/>
    </row>
    <row r="461" spans="1:8">
      <c r="A461" s="8"/>
      <c r="C461" s="14"/>
      <c r="H461" s="15"/>
    </row>
    <row r="462" spans="1:8">
      <c r="A462" s="8"/>
      <c r="C462" s="14"/>
      <c r="H462" s="15"/>
    </row>
    <row r="463" spans="1:8">
      <c r="A463" s="8"/>
      <c r="C463" s="14"/>
      <c r="H463" s="15"/>
    </row>
    <row r="464" spans="1:8">
      <c r="A464" s="8"/>
      <c r="C464" s="14"/>
      <c r="H464" s="15"/>
    </row>
    <row r="465" spans="1:8">
      <c r="A465" s="8"/>
      <c r="C465" s="14"/>
      <c r="H465" s="15"/>
    </row>
    <row r="466" spans="1:8">
      <c r="A466" s="8"/>
      <c r="C466" s="14"/>
      <c r="H466" s="15"/>
    </row>
    <row r="467" spans="1:8">
      <c r="A467" s="8"/>
      <c r="C467" s="14"/>
      <c r="H467" s="15"/>
    </row>
    <row r="468" spans="1:8">
      <c r="A468" s="8"/>
      <c r="C468" s="14"/>
      <c r="H468" s="15"/>
    </row>
    <row r="469" spans="1:8">
      <c r="A469" s="8"/>
      <c r="C469" s="14"/>
      <c r="H469" s="15"/>
    </row>
    <row r="470" spans="1:8">
      <c r="A470" s="8"/>
      <c r="C470" s="14"/>
      <c r="H470" s="15"/>
    </row>
    <row r="471" spans="1:8">
      <c r="A471" s="8"/>
      <c r="C471" s="14"/>
      <c r="H471" s="15"/>
    </row>
    <row r="472" spans="1:8">
      <c r="A472" s="8"/>
      <c r="C472" s="14"/>
      <c r="H472" s="15"/>
    </row>
    <row r="473" spans="1:8">
      <c r="A473" s="8"/>
      <c r="C473" s="14"/>
      <c r="H473" s="15"/>
    </row>
    <row r="474" spans="1:8">
      <c r="A474" s="8"/>
      <c r="C474" s="14"/>
      <c r="H474" s="15"/>
    </row>
    <row r="475" spans="1:8">
      <c r="A475" s="8"/>
      <c r="C475" s="14"/>
      <c r="H475" s="15"/>
    </row>
    <row r="476" spans="1:8">
      <c r="A476" s="8"/>
      <c r="C476" s="14"/>
      <c r="H476" s="15"/>
    </row>
    <row r="477" spans="1:8">
      <c r="A477" s="8"/>
      <c r="C477" s="14"/>
      <c r="H477" s="15"/>
    </row>
    <row r="478" spans="1:8">
      <c r="A478" s="8"/>
      <c r="C478" s="14"/>
      <c r="H478" s="15"/>
    </row>
    <row r="479" spans="1:8">
      <c r="A479" s="8"/>
      <c r="C479" s="14"/>
      <c r="H479" s="15"/>
    </row>
    <row r="480" spans="1:8">
      <c r="A480" s="8"/>
      <c r="C480" s="14"/>
      <c r="H480" s="15"/>
    </row>
    <row r="481" spans="1:8">
      <c r="A481" s="8"/>
      <c r="C481" s="14"/>
      <c r="H481" s="15"/>
    </row>
    <row r="482" spans="1:8">
      <c r="A482" s="8"/>
      <c r="C482" s="14"/>
      <c r="H482" s="15"/>
    </row>
    <row r="483" spans="1:8">
      <c r="A483" s="8"/>
      <c r="C483" s="14"/>
      <c r="H483" s="15"/>
    </row>
    <row r="484" spans="1:8">
      <c r="A484" s="8"/>
      <c r="C484" s="14"/>
      <c r="H484" s="15"/>
    </row>
    <row r="485" spans="1:8">
      <c r="A485" s="8"/>
      <c r="C485" s="14"/>
      <c r="H485" s="15"/>
    </row>
    <row r="486" spans="1:8">
      <c r="A486" s="8"/>
      <c r="C486" s="14"/>
      <c r="H486" s="15"/>
    </row>
    <row r="487" spans="1:8">
      <c r="A487" s="8"/>
      <c r="C487" s="14"/>
      <c r="H487" s="15"/>
    </row>
    <row r="488" spans="1:8">
      <c r="A488" s="8"/>
      <c r="C488" s="14"/>
      <c r="H488" s="15"/>
    </row>
    <row r="489" spans="1:8">
      <c r="A489" s="8"/>
      <c r="C489" s="14"/>
      <c r="H489" s="15"/>
    </row>
    <row r="490" spans="1:8">
      <c r="A490" s="8"/>
      <c r="C490" s="14"/>
      <c r="H490" s="15"/>
    </row>
    <row r="491" spans="1:8">
      <c r="A491" s="8"/>
      <c r="C491" s="14"/>
      <c r="H491" s="15"/>
    </row>
    <row r="492" spans="1:8">
      <c r="A492" s="8"/>
      <c r="C492" s="14"/>
      <c r="H492" s="15"/>
    </row>
    <row r="493" spans="1:8">
      <c r="A493" s="8"/>
      <c r="C493" s="14"/>
      <c r="H493" s="15"/>
    </row>
    <row r="494" spans="1:8">
      <c r="A494" s="8"/>
      <c r="C494" s="14"/>
      <c r="H494" s="15"/>
    </row>
    <row r="495" spans="1:8">
      <c r="A495" s="8"/>
      <c r="C495" s="14"/>
      <c r="H495" s="15"/>
    </row>
    <row r="496" spans="1:8">
      <c r="A496" s="8"/>
      <c r="C496" s="14"/>
      <c r="H496" s="15"/>
    </row>
    <row r="497" spans="1:8">
      <c r="A497" s="8"/>
      <c r="C497" s="14"/>
      <c r="H497" s="15"/>
    </row>
    <row r="498" spans="1:8">
      <c r="A498" s="8"/>
      <c r="C498" s="14"/>
      <c r="H498" s="15"/>
    </row>
    <row r="499" spans="1:8">
      <c r="A499" s="8"/>
      <c r="C499" s="14"/>
      <c r="H499" s="15"/>
    </row>
    <row r="500" spans="1:8">
      <c r="A500" s="8"/>
      <c r="C500" s="14"/>
      <c r="H500" s="15"/>
    </row>
    <row r="501" spans="1:8">
      <c r="A501" s="8"/>
      <c r="C501" s="14"/>
      <c r="H501" s="15"/>
    </row>
    <row r="502" spans="1:8">
      <c r="A502" s="8"/>
      <c r="C502" s="14"/>
      <c r="H502" s="15"/>
    </row>
    <row r="503" spans="1:8">
      <c r="A503" s="8"/>
      <c r="C503" s="14"/>
      <c r="H503" s="15"/>
    </row>
    <row r="504" spans="1:8">
      <c r="A504" s="8"/>
      <c r="C504" s="14"/>
      <c r="H504" s="15"/>
    </row>
    <row r="505" spans="1:8">
      <c r="A505" s="8"/>
      <c r="C505" s="14"/>
      <c r="H505" s="15"/>
    </row>
    <row r="506" spans="1:8">
      <c r="A506" s="8"/>
      <c r="C506" s="14"/>
      <c r="H506" s="15"/>
    </row>
    <row r="507" spans="1:8">
      <c r="A507" s="8"/>
      <c r="C507" s="14"/>
      <c r="H507" s="15"/>
    </row>
    <row r="508" spans="1:8">
      <c r="A508" s="8"/>
      <c r="C508" s="14"/>
      <c r="H508" s="15"/>
    </row>
    <row r="509" spans="1:8">
      <c r="A509" s="8"/>
      <c r="C509" s="14"/>
      <c r="H509" s="15"/>
    </row>
    <row r="510" spans="1:8">
      <c r="A510" s="8"/>
      <c r="C510" s="14"/>
      <c r="H510" s="15"/>
    </row>
    <row r="511" spans="1:8">
      <c r="A511" s="8"/>
      <c r="C511" s="14"/>
      <c r="H511" s="15"/>
    </row>
    <row r="512" spans="1:8">
      <c r="A512" s="8"/>
      <c r="C512" s="14"/>
      <c r="H512" s="15"/>
    </row>
    <row r="513" spans="1:8">
      <c r="A513" s="8"/>
      <c r="C513" s="14"/>
      <c r="H513" s="15"/>
    </row>
    <row r="514" spans="1:8">
      <c r="A514" s="8"/>
      <c r="C514" s="14"/>
      <c r="H514" s="15"/>
    </row>
    <row r="515" spans="1:8">
      <c r="A515" s="8"/>
      <c r="C515" s="14"/>
      <c r="H515" s="15"/>
    </row>
    <row r="516" spans="1:8">
      <c r="A516" s="8"/>
      <c r="C516" s="14"/>
      <c r="H516" s="15"/>
    </row>
    <row r="517" spans="1:8">
      <c r="A517" s="8"/>
      <c r="C517" s="14"/>
      <c r="H517" s="15"/>
    </row>
    <row r="518" spans="1:8">
      <c r="A518" s="8"/>
      <c r="C518" s="14"/>
      <c r="H518" s="15"/>
    </row>
    <row r="519" spans="1:8">
      <c r="A519" s="8"/>
      <c r="C519" s="14"/>
      <c r="H519" s="15"/>
    </row>
    <row r="520" spans="1:8">
      <c r="A520" s="8"/>
      <c r="C520" s="14"/>
      <c r="H520" s="15"/>
    </row>
    <row r="521" spans="1:8">
      <c r="A521" s="8"/>
      <c r="C521" s="14"/>
      <c r="H521" s="15"/>
    </row>
    <row r="522" spans="1:8">
      <c r="A522" s="8"/>
      <c r="C522" s="14"/>
      <c r="H522" s="15"/>
    </row>
    <row r="523" spans="1:8">
      <c r="A523" s="8"/>
      <c r="C523" s="14"/>
      <c r="H523" s="15"/>
    </row>
    <row r="524" spans="1:8">
      <c r="A524" s="8"/>
      <c r="C524" s="14"/>
      <c r="H524" s="15"/>
    </row>
    <row r="525" spans="1:8">
      <c r="A525" s="8"/>
      <c r="C525" s="14"/>
      <c r="H525" s="15"/>
    </row>
    <row r="526" spans="1:8">
      <c r="A526" s="8"/>
      <c r="C526" s="14"/>
      <c r="H526" s="15"/>
    </row>
    <row r="527" spans="1:8">
      <c r="A527" s="8"/>
      <c r="C527" s="14"/>
      <c r="H527" s="15"/>
    </row>
    <row r="528" spans="1:8">
      <c r="A528" s="8"/>
      <c r="C528" s="14"/>
      <c r="H528" s="15"/>
    </row>
    <row r="529" spans="1:8">
      <c r="A529" s="8"/>
      <c r="C529" s="14"/>
      <c r="H529" s="15"/>
    </row>
    <row r="530" spans="1:8">
      <c r="A530" s="8"/>
      <c r="C530" s="14"/>
      <c r="H530" s="15"/>
    </row>
    <row r="531" spans="1:8">
      <c r="A531" s="8"/>
      <c r="C531" s="14"/>
      <c r="H531" s="15"/>
    </row>
    <row r="532" spans="1:8">
      <c r="A532" s="8"/>
      <c r="C532" s="14"/>
      <c r="H532" s="15"/>
    </row>
    <row r="533" spans="1:8">
      <c r="A533" s="8"/>
      <c r="C533" s="14"/>
      <c r="H533" s="15"/>
    </row>
    <row r="534" spans="1:8">
      <c r="A534" s="8"/>
      <c r="C534" s="14"/>
      <c r="H534" s="15"/>
    </row>
    <row r="535" spans="1:8">
      <c r="A535" s="8"/>
      <c r="C535" s="14"/>
      <c r="H535" s="15"/>
    </row>
    <row r="536" spans="1:8">
      <c r="A536" s="8"/>
      <c r="C536" s="14"/>
      <c r="H536" s="15"/>
    </row>
    <row r="537" spans="1:8">
      <c r="A537" s="8"/>
      <c r="C537" s="14"/>
      <c r="H537" s="15"/>
    </row>
    <row r="538" spans="1:8">
      <c r="A538" s="8"/>
      <c r="C538" s="14"/>
      <c r="H538" s="15"/>
    </row>
    <row r="539" spans="1:8">
      <c r="A539" s="8"/>
      <c r="C539" s="14"/>
      <c r="H539" s="15"/>
    </row>
    <row r="540" spans="1:8">
      <c r="A540" s="8"/>
      <c r="C540" s="14"/>
      <c r="H540" s="15"/>
    </row>
    <row r="541" spans="1:8">
      <c r="A541" s="8"/>
      <c r="C541" s="14"/>
      <c r="H541" s="15"/>
    </row>
    <row r="542" spans="1:8">
      <c r="A542" s="8"/>
      <c r="C542" s="14"/>
      <c r="H542" s="15"/>
    </row>
    <row r="543" spans="1:8">
      <c r="A543" s="8"/>
      <c r="C543" s="14"/>
      <c r="H543" s="15"/>
    </row>
    <row r="544" spans="1:8">
      <c r="A544" s="8"/>
      <c r="C544" s="14"/>
      <c r="H544" s="15"/>
    </row>
    <row r="545" spans="1:8">
      <c r="A545" s="8"/>
      <c r="C545" s="14"/>
      <c r="H545" s="15"/>
    </row>
    <row r="546" spans="1:8">
      <c r="A546" s="8"/>
      <c r="C546" s="14"/>
      <c r="H546" s="15"/>
    </row>
    <row r="547" spans="1:8">
      <c r="A547" s="8"/>
      <c r="C547" s="14"/>
      <c r="H547" s="15"/>
    </row>
    <row r="548" spans="1:8">
      <c r="A548" s="8"/>
      <c r="C548" s="14"/>
      <c r="H548" s="15"/>
    </row>
    <row r="549" spans="1:8">
      <c r="A549" s="8"/>
      <c r="C549" s="14"/>
      <c r="H549" s="15"/>
    </row>
    <row r="550" spans="1:8">
      <c r="A550" s="8"/>
      <c r="C550" s="14"/>
      <c r="H550" s="15"/>
    </row>
    <row r="551" spans="1:8">
      <c r="A551" s="8"/>
      <c r="C551" s="14"/>
      <c r="H551" s="15"/>
    </row>
    <row r="552" spans="1:8">
      <c r="A552" s="8"/>
      <c r="C552" s="14"/>
      <c r="H552" s="15"/>
    </row>
    <row r="553" spans="1:8">
      <c r="A553" s="8"/>
      <c r="C553" s="14"/>
      <c r="H553" s="15"/>
    </row>
    <row r="554" spans="1:8">
      <c r="A554" s="8"/>
      <c r="C554" s="14"/>
      <c r="H554" s="15"/>
    </row>
    <row r="555" spans="1:8">
      <c r="A555" s="8"/>
      <c r="C555" s="14"/>
      <c r="H555" s="15"/>
    </row>
    <row r="556" spans="1:8">
      <c r="A556" s="8"/>
      <c r="C556" s="14"/>
      <c r="H556" s="15"/>
    </row>
    <row r="557" spans="1:8">
      <c r="A557" s="8"/>
      <c r="C557" s="14"/>
      <c r="H557" s="15"/>
    </row>
    <row r="558" spans="1:8">
      <c r="A558" s="8"/>
      <c r="C558" s="14"/>
      <c r="H558" s="15"/>
    </row>
    <row r="559" spans="1:8">
      <c r="A559" s="8"/>
      <c r="C559" s="14"/>
      <c r="H559" s="15"/>
    </row>
    <row r="560" spans="1:8">
      <c r="A560" s="8"/>
      <c r="C560" s="14"/>
      <c r="H560" s="15"/>
    </row>
    <row r="561" spans="1:8">
      <c r="A561" s="8"/>
      <c r="C561" s="14"/>
      <c r="H561" s="15"/>
    </row>
    <row r="562" spans="1:8">
      <c r="A562" s="8"/>
      <c r="C562" s="14"/>
      <c r="H562" s="15"/>
    </row>
    <row r="563" spans="1:8">
      <c r="A563" s="8"/>
      <c r="C563" s="14"/>
      <c r="H563" s="15"/>
    </row>
    <row r="564" spans="1:8">
      <c r="A564" s="8"/>
      <c r="C564" s="14"/>
      <c r="H564" s="15"/>
    </row>
    <row r="565" spans="1:8">
      <c r="A565" s="8"/>
      <c r="C565" s="14"/>
      <c r="H565" s="15"/>
    </row>
    <row r="566" spans="1:8">
      <c r="A566" s="8"/>
      <c r="C566" s="14"/>
      <c r="H566" s="15"/>
    </row>
    <row r="567" spans="1:8">
      <c r="A567" s="8"/>
      <c r="C567" s="14"/>
      <c r="H567" s="15"/>
    </row>
    <row r="568" spans="1:8">
      <c r="A568" s="8"/>
      <c r="C568" s="14"/>
      <c r="H568" s="15"/>
    </row>
    <row r="569" spans="1:8">
      <c r="A569" s="8"/>
      <c r="C569" s="14"/>
      <c r="H569" s="15"/>
    </row>
    <row r="570" spans="1:8">
      <c r="A570" s="8"/>
      <c r="C570" s="14"/>
      <c r="H570" s="15"/>
    </row>
    <row r="571" spans="1:8">
      <c r="A571" s="8"/>
      <c r="C571" s="14"/>
      <c r="H571" s="15"/>
    </row>
    <row r="572" spans="1:8">
      <c r="A572" s="8"/>
      <c r="C572" s="14"/>
      <c r="H572" s="15"/>
    </row>
    <row r="573" spans="1:8">
      <c r="A573" s="8"/>
      <c r="C573" s="14"/>
      <c r="H573" s="15"/>
    </row>
    <row r="574" spans="1:8">
      <c r="A574" s="8"/>
      <c r="C574" s="14"/>
      <c r="H574" s="15"/>
    </row>
    <row r="575" spans="1:8">
      <c r="A575" s="8"/>
      <c r="C575" s="14"/>
      <c r="H575" s="15"/>
    </row>
    <row r="576" spans="1:8">
      <c r="A576" s="8"/>
      <c r="C576" s="14"/>
      <c r="H576" s="15"/>
    </row>
    <row r="577" spans="1:8">
      <c r="A577" s="8"/>
      <c r="C577" s="14"/>
      <c r="H577" s="15"/>
    </row>
    <row r="578" spans="1:8">
      <c r="A578" s="8"/>
      <c r="C578" s="14"/>
      <c r="H578" s="15"/>
    </row>
    <row r="579" spans="1:8">
      <c r="A579" s="8"/>
      <c r="C579" s="14"/>
      <c r="H579" s="15"/>
    </row>
    <row r="580" spans="1:8">
      <c r="A580" s="8"/>
      <c r="C580" s="14"/>
      <c r="H580" s="15"/>
    </row>
    <row r="581" spans="1:8">
      <c r="A581" s="8"/>
      <c r="C581" s="14"/>
      <c r="H581" s="15"/>
    </row>
    <row r="582" spans="1:8">
      <c r="A582" s="8"/>
      <c r="C582" s="14"/>
      <c r="H582" s="15"/>
    </row>
    <row r="583" spans="1:8">
      <c r="A583" s="8"/>
      <c r="C583" s="14"/>
      <c r="H583" s="15"/>
    </row>
    <row r="584" spans="1:8">
      <c r="A584" s="8"/>
      <c r="C584" s="14"/>
      <c r="H584" s="15"/>
    </row>
    <row r="585" spans="1:8">
      <c r="A585" s="8"/>
      <c r="C585" s="14"/>
      <c r="H585" s="15"/>
    </row>
    <row r="586" spans="1:8">
      <c r="A586" s="8"/>
      <c r="C586" s="14"/>
      <c r="H586" s="15"/>
    </row>
    <row r="587" spans="1:8">
      <c r="A587" s="8"/>
      <c r="C587" s="14"/>
      <c r="H587" s="15"/>
    </row>
    <row r="588" spans="1:8">
      <c r="A588" s="8"/>
      <c r="C588" s="14"/>
      <c r="H588" s="15"/>
    </row>
    <row r="589" spans="1:8">
      <c r="A589" s="8"/>
      <c r="C589" s="14"/>
      <c r="H589" s="15"/>
    </row>
    <row r="590" spans="1:8">
      <c r="A590" s="8"/>
      <c r="C590" s="14"/>
      <c r="H590" s="15"/>
    </row>
    <row r="591" spans="1:8">
      <c r="A591" s="8"/>
      <c r="C591" s="14"/>
      <c r="H591" s="15"/>
    </row>
    <row r="592" spans="1:8">
      <c r="A592" s="8"/>
      <c r="C592" s="14"/>
      <c r="H592" s="15"/>
    </row>
    <row r="593" spans="1:8">
      <c r="A593" s="8"/>
      <c r="C593" s="14"/>
      <c r="H593" s="15"/>
    </row>
    <row r="594" spans="1:8">
      <c r="A594" s="8"/>
      <c r="C594" s="14"/>
      <c r="H594" s="15"/>
    </row>
    <row r="595" spans="1:8">
      <c r="A595" s="8"/>
      <c r="C595" s="14"/>
      <c r="H595" s="15"/>
    </row>
    <row r="596" spans="1:8">
      <c r="A596" s="8"/>
      <c r="C596" s="14"/>
      <c r="H596" s="15"/>
    </row>
    <row r="597" spans="1:8">
      <c r="A597" s="8"/>
      <c r="C597" s="14"/>
      <c r="H597" s="15"/>
    </row>
    <row r="598" spans="1:8">
      <c r="A598" s="8"/>
      <c r="C598" s="14"/>
      <c r="H598" s="15"/>
    </row>
    <row r="599" spans="1:8">
      <c r="A599" s="8"/>
      <c r="C599" s="14"/>
      <c r="H599" s="15"/>
    </row>
    <row r="600" spans="1:8">
      <c r="A600" s="8"/>
      <c r="C600" s="14"/>
      <c r="H600" s="15"/>
    </row>
    <row r="601" spans="1:8">
      <c r="A601" s="8"/>
      <c r="C601" s="14"/>
      <c r="H601" s="15"/>
    </row>
    <row r="602" spans="1:8">
      <c r="A602" s="8"/>
      <c r="C602" s="14"/>
      <c r="H602" s="15"/>
    </row>
    <row r="603" spans="1:8">
      <c r="A603" s="8"/>
      <c r="C603" s="14"/>
      <c r="H603" s="15"/>
    </row>
    <row r="604" spans="1:8">
      <c r="A604" s="8"/>
      <c r="C604" s="14"/>
      <c r="H604" s="15"/>
    </row>
    <row r="605" spans="1:8">
      <c r="A605" s="8"/>
      <c r="C605" s="14"/>
      <c r="H605" s="15"/>
    </row>
    <row r="606" spans="1:8">
      <c r="A606" s="8"/>
      <c r="C606" s="14"/>
      <c r="H606" s="15"/>
    </row>
    <row r="607" spans="1:8">
      <c r="A607" s="8"/>
      <c r="C607" s="14"/>
      <c r="H607" s="15"/>
    </row>
    <row r="608" spans="1:8">
      <c r="A608" s="8"/>
      <c r="C608" s="14"/>
      <c r="H608" s="15"/>
    </row>
    <row r="609" spans="1:8">
      <c r="A609" s="8"/>
      <c r="C609" s="14"/>
      <c r="H609" s="15"/>
    </row>
    <row r="610" spans="1:8">
      <c r="A610" s="8"/>
      <c r="C610" s="14"/>
      <c r="H610" s="15"/>
    </row>
    <row r="611" spans="1:8">
      <c r="A611" s="8"/>
      <c r="C611" s="14"/>
      <c r="H611" s="15"/>
    </row>
    <row r="612" spans="1:8">
      <c r="A612" s="8"/>
      <c r="C612" s="14"/>
      <c r="H612" s="15"/>
    </row>
    <row r="613" spans="1:8">
      <c r="A613" s="8"/>
      <c r="C613" s="14"/>
      <c r="H613" s="15"/>
    </row>
    <row r="614" spans="1:8">
      <c r="A614" s="8"/>
      <c r="C614" s="14"/>
      <c r="H614" s="15"/>
    </row>
    <row r="615" spans="1:8">
      <c r="A615" s="8"/>
      <c r="C615" s="14"/>
      <c r="H615" s="15"/>
    </row>
    <row r="616" spans="1:8">
      <c r="A616" s="8"/>
      <c r="C616" s="14"/>
      <c r="H616" s="15"/>
    </row>
    <row r="617" spans="1:8">
      <c r="A617" s="8"/>
      <c r="C617" s="14"/>
      <c r="H617" s="15"/>
    </row>
    <row r="618" spans="1:8">
      <c r="A618" s="8"/>
      <c r="C618" s="14"/>
      <c r="H618" s="15"/>
    </row>
    <row r="619" spans="1:8">
      <c r="A619" s="8"/>
      <c r="C619" s="14"/>
      <c r="H619" s="15"/>
    </row>
    <row r="620" spans="1:8">
      <c r="A620" s="8"/>
      <c r="C620" s="14"/>
      <c r="H620" s="15"/>
    </row>
    <row r="621" spans="1:8">
      <c r="A621" s="8"/>
      <c r="C621" s="14"/>
      <c r="H621" s="15"/>
    </row>
    <row r="622" spans="1:8">
      <c r="A622" s="8"/>
      <c r="C622" s="14"/>
      <c r="H622" s="15"/>
    </row>
    <row r="623" spans="1:8">
      <c r="A623" s="8"/>
      <c r="C623" s="14"/>
      <c r="H623" s="15"/>
    </row>
    <row r="624" spans="1:8">
      <c r="A624" s="8"/>
      <c r="C624" s="14"/>
      <c r="H624" s="15"/>
    </row>
    <row r="625" spans="1:8">
      <c r="A625" s="8"/>
      <c r="C625" s="14"/>
      <c r="H625" s="15"/>
    </row>
    <row r="626" spans="1:8">
      <c r="A626" s="8"/>
      <c r="C626" s="14"/>
      <c r="H626" s="15"/>
    </row>
    <row r="627" spans="1:8">
      <c r="A627" s="8"/>
      <c r="C627" s="14"/>
      <c r="H627" s="15"/>
    </row>
    <row r="628" spans="1:8">
      <c r="A628" s="8"/>
      <c r="C628" s="14"/>
      <c r="H628" s="15"/>
    </row>
    <row r="629" spans="1:8">
      <c r="A629" s="8"/>
      <c r="C629" s="14"/>
      <c r="H629" s="15"/>
    </row>
    <row r="630" spans="1:8">
      <c r="A630" s="8"/>
      <c r="C630" s="14"/>
      <c r="H630" s="15"/>
    </row>
    <row r="631" spans="1:8">
      <c r="A631" s="8"/>
      <c r="C631" s="14"/>
      <c r="H631" s="15"/>
    </row>
    <row r="632" spans="1:8">
      <c r="A632" s="8"/>
      <c r="C632" s="14"/>
      <c r="H632" s="15"/>
    </row>
    <row r="633" spans="1:8">
      <c r="A633" s="8"/>
      <c r="C633" s="14"/>
      <c r="H633" s="15"/>
    </row>
    <row r="634" spans="1:8">
      <c r="A634" s="8"/>
      <c r="C634" s="14"/>
      <c r="H634" s="15"/>
    </row>
    <row r="635" spans="1:8">
      <c r="A635" s="8"/>
      <c r="C635" s="14"/>
      <c r="H635" s="15"/>
    </row>
    <row r="636" spans="1:8">
      <c r="A636" s="8"/>
      <c r="C636" s="14"/>
      <c r="H636" s="15"/>
    </row>
    <row r="637" spans="1:8">
      <c r="A637" s="8"/>
      <c r="C637" s="14"/>
      <c r="H637" s="15"/>
    </row>
    <row r="638" spans="1:8">
      <c r="A638" s="8"/>
      <c r="C638" s="14"/>
      <c r="H638" s="15"/>
    </row>
    <row r="639" spans="1:8">
      <c r="A639" s="8"/>
      <c r="C639" s="14"/>
      <c r="H639" s="15"/>
    </row>
    <row r="640" spans="1:8">
      <c r="A640" s="8"/>
      <c r="C640" s="14"/>
      <c r="H640" s="15"/>
    </row>
    <row r="641" spans="1:8">
      <c r="A641" s="8"/>
      <c r="C641" s="14"/>
      <c r="H641" s="15"/>
    </row>
    <row r="642" spans="1:8">
      <c r="A642" s="8"/>
      <c r="C642" s="14"/>
      <c r="H642" s="15"/>
    </row>
    <row r="643" spans="1:8">
      <c r="A643" s="8"/>
      <c r="C643" s="14"/>
      <c r="H643" s="15"/>
    </row>
    <row r="644" spans="1:8">
      <c r="A644" s="8"/>
      <c r="C644" s="14"/>
      <c r="H644" s="15"/>
    </row>
    <row r="645" spans="1:8">
      <c r="A645" s="8"/>
      <c r="C645" s="14"/>
      <c r="H645" s="15"/>
    </row>
    <row r="646" spans="1:8">
      <c r="A646" s="8"/>
      <c r="C646" s="14"/>
      <c r="H646" s="15"/>
    </row>
    <row r="647" spans="1:8">
      <c r="A647" s="8"/>
      <c r="C647" s="14"/>
      <c r="H647" s="15"/>
    </row>
    <row r="648" spans="1:8">
      <c r="A648" s="8"/>
      <c r="C648" s="14"/>
      <c r="H648" s="15"/>
    </row>
    <row r="649" spans="1:8">
      <c r="A649" s="8"/>
      <c r="C649" s="14"/>
      <c r="H649" s="15"/>
    </row>
    <row r="650" spans="1:8">
      <c r="A650" s="8"/>
      <c r="C650" s="14"/>
      <c r="H650" s="15"/>
    </row>
    <row r="651" spans="1:8">
      <c r="A651" s="8"/>
      <c r="C651" s="14"/>
      <c r="H651" s="15"/>
    </row>
    <row r="652" spans="1:8">
      <c r="A652" s="8"/>
      <c r="C652" s="14"/>
      <c r="H652" s="15"/>
    </row>
    <row r="653" spans="1:8">
      <c r="A653" s="8"/>
      <c r="C653" s="14"/>
      <c r="H653" s="15"/>
    </row>
    <row r="654" spans="1:8">
      <c r="A654" s="8"/>
      <c r="C654" s="14"/>
      <c r="H654" s="15"/>
    </row>
    <row r="655" spans="1:8">
      <c r="A655" s="8"/>
      <c r="C655" s="14"/>
      <c r="H655" s="15"/>
    </row>
    <row r="656" spans="1:8">
      <c r="A656" s="8"/>
      <c r="C656" s="14"/>
      <c r="H656" s="15"/>
    </row>
    <row r="657" spans="1:8">
      <c r="A657" s="8"/>
      <c r="C657" s="14"/>
      <c r="H657" s="15"/>
    </row>
    <row r="658" spans="1:8">
      <c r="A658" s="8"/>
      <c r="C658" s="14"/>
      <c r="H658" s="15"/>
    </row>
    <row r="659" spans="1:8">
      <c r="A659" s="8"/>
      <c r="C659" s="14"/>
      <c r="H659" s="15"/>
    </row>
    <row r="660" spans="1:8">
      <c r="A660" s="8"/>
      <c r="C660" s="14"/>
      <c r="H660" s="15"/>
    </row>
    <row r="661" spans="1:8">
      <c r="A661" s="8"/>
      <c r="C661" s="14"/>
      <c r="H661" s="15"/>
    </row>
    <row r="662" spans="1:8">
      <c r="A662" s="8"/>
      <c r="C662" s="14"/>
      <c r="H662" s="15"/>
    </row>
    <row r="663" spans="1:8">
      <c r="A663" s="8"/>
      <c r="C663" s="14"/>
      <c r="H663" s="15"/>
    </row>
    <row r="664" spans="1:8">
      <c r="A664" s="8"/>
      <c r="C664" s="14"/>
      <c r="H664" s="15"/>
    </row>
    <row r="665" spans="1:8">
      <c r="A665" s="8"/>
      <c r="C665" s="14"/>
      <c r="H665" s="15"/>
    </row>
    <row r="666" spans="1:8">
      <c r="A666" s="8"/>
      <c r="C666" s="14"/>
      <c r="H666" s="15"/>
    </row>
    <row r="667" spans="1:8">
      <c r="A667" s="8"/>
      <c r="C667" s="14"/>
      <c r="H667" s="15"/>
    </row>
    <row r="668" spans="1:8">
      <c r="A668" s="8"/>
      <c r="C668" s="14"/>
      <c r="H668" s="15"/>
    </row>
    <row r="669" spans="1:8">
      <c r="A669" s="8"/>
      <c r="C669" s="14"/>
      <c r="H669" s="15"/>
    </row>
    <row r="670" spans="1:8">
      <c r="A670" s="8"/>
      <c r="C670" s="14"/>
      <c r="H670" s="15"/>
    </row>
    <row r="671" spans="1:8">
      <c r="A671" s="8"/>
      <c r="C671" s="14"/>
      <c r="H671" s="15"/>
    </row>
    <row r="672" spans="1:8">
      <c r="A672" s="8"/>
      <c r="C672" s="14"/>
      <c r="H672" s="15"/>
    </row>
    <row r="673" spans="1:8">
      <c r="A673" s="8"/>
      <c r="C673" s="14"/>
      <c r="H673" s="15"/>
    </row>
    <row r="674" spans="1:8">
      <c r="A674" s="8"/>
      <c r="C674" s="14"/>
      <c r="H674" s="15"/>
    </row>
    <row r="675" spans="1:8">
      <c r="A675" s="8"/>
      <c r="C675" s="14"/>
      <c r="H675" s="15"/>
    </row>
    <row r="676" spans="1:8">
      <c r="A676" s="8"/>
      <c r="C676" s="14"/>
      <c r="H676" s="15"/>
    </row>
    <row r="677" spans="1:8">
      <c r="A677" s="8"/>
      <c r="C677" s="14"/>
      <c r="H677" s="15"/>
    </row>
    <row r="678" spans="1:8">
      <c r="A678" s="8"/>
      <c r="C678" s="14"/>
      <c r="H678" s="15"/>
    </row>
    <row r="679" spans="1:8">
      <c r="A679" s="8"/>
      <c r="C679" s="14"/>
      <c r="H679" s="15"/>
    </row>
    <row r="680" spans="1:8">
      <c r="A680" s="8"/>
      <c r="C680" s="14"/>
      <c r="H680" s="15"/>
    </row>
    <row r="681" spans="1:8">
      <c r="A681" s="8"/>
      <c r="C681" s="14"/>
      <c r="H681" s="15"/>
    </row>
    <row r="682" spans="1:8">
      <c r="A682" s="8"/>
      <c r="C682" s="14"/>
      <c r="H682" s="15"/>
    </row>
    <row r="683" spans="1:8">
      <c r="A683" s="8"/>
      <c r="C683" s="14"/>
      <c r="H683" s="15"/>
    </row>
    <row r="684" spans="1:8">
      <c r="A684" s="8"/>
      <c r="C684" s="14"/>
      <c r="H684" s="15"/>
    </row>
    <row r="685" spans="1:8">
      <c r="A685" s="8"/>
      <c r="C685" s="14"/>
      <c r="H685" s="15"/>
    </row>
    <row r="686" spans="1:8">
      <c r="A686" s="8"/>
      <c r="C686" s="14"/>
      <c r="H686" s="15"/>
    </row>
    <row r="687" spans="1:8">
      <c r="A687" s="8"/>
      <c r="C687" s="14"/>
      <c r="H687" s="15"/>
    </row>
    <row r="688" spans="1:8">
      <c r="A688" s="8"/>
      <c r="C688" s="14"/>
      <c r="H688" s="15"/>
    </row>
    <row r="689" spans="1:8">
      <c r="A689" s="8"/>
      <c r="C689" s="14"/>
      <c r="H689" s="15"/>
    </row>
    <row r="690" spans="1:8">
      <c r="A690" s="8"/>
      <c r="C690" s="14"/>
      <c r="H690" s="15"/>
    </row>
    <row r="691" spans="1:8">
      <c r="A691" s="8"/>
      <c r="C691" s="14"/>
      <c r="H691" s="15"/>
    </row>
    <row r="692" spans="1:8">
      <c r="A692" s="8"/>
      <c r="C692" s="14"/>
      <c r="H692" s="15"/>
    </row>
    <row r="693" spans="1:8">
      <c r="A693" s="8"/>
      <c r="C693" s="14"/>
      <c r="H693" s="15"/>
    </row>
    <row r="694" spans="1:8">
      <c r="A694" s="8"/>
      <c r="C694" s="14"/>
      <c r="H694" s="15"/>
    </row>
    <row r="695" spans="1:8">
      <c r="A695" s="8"/>
      <c r="C695" s="14"/>
      <c r="H695" s="15"/>
    </row>
    <row r="696" spans="1:8">
      <c r="A696" s="8"/>
      <c r="C696" s="14"/>
      <c r="H696" s="15"/>
    </row>
    <row r="697" spans="1:8">
      <c r="A697" s="8"/>
      <c r="C697" s="14"/>
      <c r="H697" s="15"/>
    </row>
    <row r="698" spans="1:8">
      <c r="A698" s="8"/>
      <c r="C698" s="14"/>
      <c r="H698" s="15"/>
    </row>
    <row r="699" spans="1:8">
      <c r="A699" s="8"/>
      <c r="C699" s="14"/>
      <c r="H699" s="15"/>
    </row>
    <row r="700" spans="1:8">
      <c r="A700" s="8"/>
      <c r="C700" s="14"/>
      <c r="H700" s="15"/>
    </row>
    <row r="701" spans="1:8">
      <c r="A701" s="8"/>
      <c r="C701" s="14"/>
      <c r="H701" s="15"/>
    </row>
    <row r="702" spans="1:8">
      <c r="A702" s="8"/>
      <c r="C702" s="14"/>
      <c r="H702" s="15"/>
    </row>
    <row r="703" spans="1:8">
      <c r="A703" s="8"/>
      <c r="C703" s="14"/>
      <c r="H703" s="15"/>
    </row>
    <row r="704" spans="1:8">
      <c r="A704" s="8"/>
      <c r="C704" s="14"/>
      <c r="H704" s="15"/>
    </row>
    <row r="705" spans="1:8">
      <c r="A705" s="8"/>
      <c r="C705" s="14"/>
      <c r="H705" s="15"/>
    </row>
    <row r="706" spans="1:8">
      <c r="A706" s="8"/>
      <c r="C706" s="14"/>
      <c r="H706" s="15"/>
    </row>
    <row r="707" spans="1:8">
      <c r="A707" s="8"/>
      <c r="C707" s="14"/>
      <c r="H707" s="15"/>
    </row>
    <row r="708" spans="1:8">
      <c r="A708" s="8"/>
      <c r="C708" s="14"/>
      <c r="H708" s="15"/>
    </row>
    <row r="709" spans="1:8">
      <c r="A709" s="8"/>
      <c r="C709" s="14"/>
      <c r="H709" s="15"/>
    </row>
    <row r="710" spans="1:8">
      <c r="A710" s="8"/>
      <c r="C710" s="14"/>
      <c r="H710" s="15"/>
    </row>
    <row r="711" spans="1:8">
      <c r="A711" s="8"/>
      <c r="C711" s="14"/>
      <c r="H711" s="15"/>
    </row>
    <row r="712" spans="1:8">
      <c r="A712" s="8"/>
      <c r="C712" s="14"/>
      <c r="H712" s="15"/>
    </row>
    <row r="713" spans="1:8">
      <c r="A713" s="8"/>
      <c r="C713" s="14"/>
      <c r="H713" s="15"/>
    </row>
    <row r="714" spans="1:8">
      <c r="A714" s="8"/>
      <c r="C714" s="14"/>
      <c r="H714" s="15"/>
    </row>
    <row r="715" spans="1:8">
      <c r="A715" s="8"/>
      <c r="C715" s="14"/>
      <c r="H715" s="15"/>
    </row>
    <row r="716" spans="1:8">
      <c r="A716" s="8"/>
      <c r="C716" s="14"/>
      <c r="H716" s="15"/>
    </row>
    <row r="717" spans="1:8">
      <c r="A717" s="8"/>
      <c r="C717" s="14"/>
      <c r="H717" s="15"/>
    </row>
    <row r="718" spans="1:8">
      <c r="A718" s="8"/>
      <c r="C718" s="14"/>
      <c r="H718" s="15"/>
    </row>
    <row r="719" spans="1:8">
      <c r="A719" s="8"/>
      <c r="C719" s="14"/>
      <c r="H719" s="15"/>
    </row>
    <row r="720" spans="1:8">
      <c r="A720" s="8"/>
      <c r="C720" s="14"/>
      <c r="H720" s="15"/>
    </row>
    <row r="721" spans="1:8">
      <c r="A721" s="8"/>
      <c r="C721" s="14"/>
      <c r="H721" s="15"/>
    </row>
    <row r="722" spans="1:8">
      <c r="A722" s="8"/>
      <c r="C722" s="14"/>
      <c r="H722" s="15"/>
    </row>
    <row r="723" spans="1:8">
      <c r="A723" s="8"/>
      <c r="C723" s="14"/>
      <c r="H723" s="15"/>
    </row>
    <row r="724" spans="1:8">
      <c r="A724" s="8"/>
      <c r="C724" s="14"/>
      <c r="H724" s="15"/>
    </row>
    <row r="725" spans="1:8">
      <c r="A725" s="8"/>
      <c r="C725" s="14"/>
      <c r="H725" s="15"/>
    </row>
    <row r="726" spans="1:8">
      <c r="A726" s="8"/>
      <c r="C726" s="14"/>
      <c r="H726" s="15"/>
    </row>
    <row r="727" spans="1:8">
      <c r="A727" s="8"/>
      <c r="C727" s="14"/>
      <c r="H727" s="15"/>
    </row>
    <row r="728" spans="1:8">
      <c r="A728" s="8"/>
      <c r="C728" s="14"/>
      <c r="H728" s="15"/>
    </row>
    <row r="729" spans="1:8">
      <c r="A729" s="8"/>
      <c r="C729" s="14"/>
      <c r="H729" s="15"/>
    </row>
    <row r="730" spans="1:8">
      <c r="A730" s="8"/>
      <c r="C730" s="14"/>
      <c r="H730" s="15"/>
    </row>
    <row r="731" spans="1:8">
      <c r="A731" s="8"/>
      <c r="C731" s="14"/>
      <c r="H731" s="15"/>
    </row>
    <row r="732" spans="1:8">
      <c r="A732" s="8"/>
      <c r="C732" s="14"/>
      <c r="H732" s="15"/>
    </row>
    <row r="733" spans="1:8">
      <c r="A733" s="8"/>
      <c r="C733" s="14"/>
      <c r="H733" s="15"/>
    </row>
    <row r="734" spans="1:8">
      <c r="A734" s="8"/>
      <c r="C734" s="14"/>
      <c r="H734" s="15"/>
    </row>
    <row r="735" spans="1:8">
      <c r="A735" s="8"/>
      <c r="C735" s="14"/>
      <c r="H735" s="15"/>
    </row>
    <row r="736" spans="1:8">
      <c r="A736" s="8"/>
      <c r="C736" s="14"/>
      <c r="H736" s="15"/>
    </row>
    <row r="737" spans="1:8">
      <c r="A737" s="8"/>
      <c r="C737" s="14"/>
      <c r="H737" s="15"/>
    </row>
    <row r="738" spans="1:8">
      <c r="A738" s="8"/>
      <c r="C738" s="14"/>
      <c r="H738" s="15"/>
    </row>
    <row r="739" spans="1:8">
      <c r="A739" s="8"/>
      <c r="C739" s="14"/>
      <c r="H739" s="15"/>
    </row>
    <row r="740" spans="1:8">
      <c r="A740" s="8"/>
      <c r="C740" s="14"/>
      <c r="H740" s="15"/>
    </row>
    <row r="741" spans="1:8">
      <c r="A741" s="8"/>
      <c r="C741" s="14"/>
      <c r="H741" s="15"/>
    </row>
    <row r="742" spans="1:8">
      <c r="A742" s="8"/>
      <c r="C742" s="14"/>
      <c r="H742" s="15"/>
    </row>
    <row r="743" spans="1:8">
      <c r="A743" s="8"/>
      <c r="C743" s="14"/>
      <c r="H743" s="15"/>
    </row>
    <row r="744" spans="1:8">
      <c r="A744" s="8"/>
      <c r="C744" s="14"/>
      <c r="H744" s="15"/>
    </row>
    <row r="745" spans="1:8">
      <c r="A745" s="8"/>
      <c r="C745" s="14"/>
      <c r="H745" s="15"/>
    </row>
    <row r="746" spans="1:8">
      <c r="A746" s="8"/>
      <c r="C746" s="14"/>
      <c r="H746" s="15"/>
    </row>
    <row r="747" spans="1:8">
      <c r="A747" s="8"/>
      <c r="C747" s="14"/>
      <c r="H747" s="15"/>
    </row>
    <row r="748" spans="1:8">
      <c r="A748" s="8"/>
      <c r="C748" s="14"/>
      <c r="H748" s="15"/>
    </row>
    <row r="749" spans="1:8">
      <c r="A749" s="8"/>
      <c r="C749" s="14"/>
      <c r="H749" s="15"/>
    </row>
    <row r="750" spans="1:8">
      <c r="A750" s="8"/>
      <c r="C750" s="14"/>
      <c r="H750" s="15"/>
    </row>
    <row r="751" spans="1:8">
      <c r="A751" s="8"/>
      <c r="C751" s="14"/>
      <c r="H751" s="15"/>
    </row>
    <row r="752" spans="1:8">
      <c r="A752" s="8"/>
      <c r="C752" s="14"/>
      <c r="H752" s="15"/>
    </row>
    <row r="753" spans="1:8">
      <c r="A753" s="8"/>
      <c r="C753" s="14"/>
      <c r="H753" s="15"/>
    </row>
    <row r="754" spans="1:8">
      <c r="A754" s="8"/>
      <c r="C754" s="14"/>
      <c r="H754" s="15"/>
    </row>
    <row r="755" spans="1:8">
      <c r="A755" s="8"/>
      <c r="C755" s="14"/>
      <c r="H755" s="15"/>
    </row>
    <row r="756" spans="1:8">
      <c r="A756" s="8"/>
      <c r="C756" s="14"/>
      <c r="H756" s="15"/>
    </row>
    <row r="757" spans="1:8">
      <c r="A757" s="8"/>
      <c r="C757" s="14"/>
      <c r="H757" s="15"/>
    </row>
    <row r="758" spans="1:8">
      <c r="A758" s="8"/>
      <c r="C758" s="14"/>
      <c r="H758" s="15"/>
    </row>
    <row r="759" spans="1:8">
      <c r="A759" s="8"/>
      <c r="C759" s="14"/>
      <c r="H759" s="15"/>
    </row>
    <row r="760" spans="1:8">
      <c r="A760" s="8"/>
      <c r="C760" s="14"/>
      <c r="H760" s="15"/>
    </row>
    <row r="761" spans="1:8">
      <c r="A761" s="8"/>
      <c r="C761" s="14"/>
      <c r="H761" s="15"/>
    </row>
    <row r="762" spans="1:8">
      <c r="A762" s="8"/>
      <c r="C762" s="14"/>
      <c r="H762" s="15"/>
    </row>
    <row r="763" spans="1:8">
      <c r="A763" s="8"/>
      <c r="C763" s="14"/>
      <c r="H763" s="15"/>
    </row>
    <row r="764" spans="1:8">
      <c r="A764" s="8"/>
      <c r="C764" s="14"/>
      <c r="H764" s="15"/>
    </row>
    <row r="765" spans="1:8">
      <c r="A765" s="8"/>
      <c r="C765" s="14"/>
      <c r="H765" s="15"/>
    </row>
    <row r="766" spans="1:8">
      <c r="A766" s="8"/>
      <c r="C766" s="14"/>
      <c r="H766" s="15"/>
    </row>
    <row r="767" spans="1:8">
      <c r="A767" s="8"/>
      <c r="C767" s="14"/>
      <c r="H767" s="15"/>
    </row>
    <row r="768" spans="1:8">
      <c r="A768" s="8"/>
      <c r="C768" s="14"/>
      <c r="H768" s="15"/>
    </row>
    <row r="769" spans="1:8">
      <c r="A769" s="8"/>
      <c r="C769" s="14"/>
      <c r="H769" s="15"/>
    </row>
    <row r="770" spans="1:8">
      <c r="A770" s="8"/>
      <c r="C770" s="14"/>
      <c r="H770" s="15"/>
    </row>
    <row r="771" spans="1:8">
      <c r="A771" s="8"/>
      <c r="C771" s="14"/>
      <c r="H771" s="15"/>
    </row>
    <row r="772" spans="1:8">
      <c r="A772" s="8"/>
      <c r="C772" s="14"/>
      <c r="H772" s="15"/>
    </row>
    <row r="773" spans="1:8">
      <c r="A773" s="8"/>
      <c r="C773" s="14"/>
      <c r="H773" s="15"/>
    </row>
    <row r="774" spans="1:8">
      <c r="A774" s="8"/>
      <c r="C774" s="14"/>
      <c r="H774" s="15"/>
    </row>
    <row r="775" spans="1:8">
      <c r="A775" s="8"/>
      <c r="C775" s="14"/>
      <c r="H775" s="15"/>
    </row>
    <row r="776" spans="1:8">
      <c r="A776" s="8"/>
      <c r="C776" s="14"/>
      <c r="H776" s="15"/>
    </row>
    <row r="777" spans="1:8">
      <c r="A777" s="8"/>
      <c r="C777" s="14"/>
      <c r="H777" s="15"/>
    </row>
    <row r="778" spans="1:8">
      <c r="A778" s="8"/>
      <c r="C778" s="14"/>
      <c r="H778" s="15"/>
    </row>
    <row r="779" spans="1:8">
      <c r="A779" s="8"/>
      <c r="C779" s="14"/>
      <c r="H779" s="15"/>
    </row>
    <row r="780" spans="1:8">
      <c r="A780" s="8"/>
      <c r="C780" s="14"/>
      <c r="H780" s="15"/>
    </row>
    <row r="781" spans="1:8">
      <c r="A781" s="8"/>
      <c r="C781" s="14"/>
      <c r="H781" s="15"/>
    </row>
    <row r="782" spans="1:8">
      <c r="A782" s="8"/>
      <c r="C782" s="14"/>
      <c r="H782" s="15"/>
    </row>
    <row r="783" spans="1:8">
      <c r="A783" s="8"/>
      <c r="C783" s="14"/>
      <c r="H783" s="15"/>
    </row>
    <row r="784" spans="1:8">
      <c r="A784" s="8"/>
      <c r="C784" s="14"/>
      <c r="H784" s="15"/>
    </row>
    <row r="785" spans="1:8">
      <c r="A785" s="8"/>
      <c r="C785" s="14"/>
      <c r="H785" s="15"/>
    </row>
    <row r="786" spans="1:8">
      <c r="A786" s="8"/>
      <c r="C786" s="14"/>
      <c r="H786" s="15"/>
    </row>
    <row r="787" spans="1:8">
      <c r="A787" s="8"/>
      <c r="C787" s="14"/>
      <c r="H787" s="15"/>
    </row>
    <row r="788" spans="1:8">
      <c r="A788" s="8"/>
      <c r="C788" s="14"/>
      <c r="H788" s="15"/>
    </row>
    <row r="789" spans="1:8">
      <c r="A789" s="8"/>
      <c r="C789" s="14"/>
      <c r="H789" s="15"/>
    </row>
    <row r="790" spans="1:8">
      <c r="A790" s="8"/>
      <c r="C790" s="14"/>
      <c r="H790" s="15"/>
    </row>
    <row r="791" spans="1:8">
      <c r="A791" s="8"/>
      <c r="C791" s="14"/>
      <c r="H791" s="15"/>
    </row>
    <row r="792" spans="1:8">
      <c r="A792" s="8"/>
      <c r="C792" s="14"/>
      <c r="H792" s="15"/>
    </row>
    <row r="793" spans="1:8">
      <c r="A793" s="8"/>
      <c r="C793" s="14"/>
      <c r="H793" s="15"/>
    </row>
    <row r="794" spans="1:8">
      <c r="A794" s="8"/>
      <c r="C794" s="14"/>
      <c r="H794" s="15"/>
    </row>
    <row r="795" spans="1:8">
      <c r="A795" s="8"/>
      <c r="C795" s="14"/>
      <c r="H795" s="15"/>
    </row>
    <row r="796" spans="1:8">
      <c r="A796" s="8"/>
      <c r="C796" s="14"/>
      <c r="H796" s="15"/>
    </row>
    <row r="797" spans="1:8">
      <c r="A797" s="8"/>
      <c r="C797" s="14"/>
      <c r="H797" s="15"/>
    </row>
    <row r="798" spans="1:8">
      <c r="A798" s="8"/>
      <c r="C798" s="14"/>
      <c r="H798" s="15"/>
    </row>
    <row r="799" spans="1:8">
      <c r="A799" s="8"/>
      <c r="C799" s="14"/>
      <c r="H799" s="15"/>
    </row>
    <row r="800" spans="1:8">
      <c r="A800" s="8"/>
      <c r="C800" s="14"/>
      <c r="H800" s="15"/>
    </row>
    <row r="801" spans="1:8">
      <c r="A801" s="8"/>
      <c r="C801" s="14"/>
      <c r="H801" s="15"/>
    </row>
    <row r="802" spans="1:8">
      <c r="A802" s="8"/>
      <c r="C802" s="14"/>
      <c r="H802" s="15"/>
    </row>
    <row r="803" spans="1:8">
      <c r="A803" s="8"/>
      <c r="C803" s="14"/>
      <c r="H803" s="15"/>
    </row>
    <row r="804" spans="1:8">
      <c r="A804" s="8"/>
      <c r="C804" s="14"/>
      <c r="H804" s="15"/>
    </row>
    <row r="805" spans="1:8">
      <c r="A805" s="8"/>
      <c r="C805" s="14"/>
      <c r="H805" s="15"/>
    </row>
    <row r="806" spans="1:8">
      <c r="A806" s="8"/>
      <c r="C806" s="14"/>
      <c r="H806" s="15"/>
    </row>
    <row r="807" spans="1:8">
      <c r="A807" s="8"/>
      <c r="C807" s="14"/>
      <c r="H807" s="15"/>
    </row>
    <row r="808" spans="1:8">
      <c r="A808" s="8"/>
      <c r="C808" s="14"/>
      <c r="H808" s="15"/>
    </row>
    <row r="809" spans="1:8">
      <c r="A809" s="8"/>
      <c r="C809" s="14"/>
      <c r="H809" s="15"/>
    </row>
    <row r="810" spans="1:8">
      <c r="A810" s="8"/>
      <c r="C810" s="14"/>
      <c r="H810" s="15"/>
    </row>
    <row r="811" spans="1:8">
      <c r="A811" s="8"/>
      <c r="C811" s="14"/>
      <c r="H811" s="15"/>
    </row>
    <row r="812" spans="1:8">
      <c r="A812" s="8"/>
      <c r="C812" s="14"/>
      <c r="H812" s="15"/>
    </row>
    <row r="813" spans="1:8">
      <c r="A813" s="8"/>
      <c r="C813" s="14"/>
      <c r="H813" s="15"/>
    </row>
    <row r="814" spans="1:8">
      <c r="A814" s="8"/>
      <c r="C814" s="14"/>
      <c r="H814" s="15"/>
    </row>
    <row r="815" spans="1:8">
      <c r="A815" s="8"/>
      <c r="C815" s="14"/>
      <c r="H815" s="15"/>
    </row>
    <row r="816" spans="1:8">
      <c r="A816" s="8"/>
      <c r="C816" s="14"/>
      <c r="H816" s="15"/>
    </row>
    <row r="817" spans="1:8">
      <c r="A817" s="8"/>
      <c r="C817" s="14"/>
      <c r="H817" s="15"/>
    </row>
    <row r="818" spans="1:8">
      <c r="A818" s="8"/>
      <c r="C818" s="14"/>
      <c r="H818" s="15"/>
    </row>
    <row r="819" spans="1:8">
      <c r="A819" s="8"/>
      <c r="C819" s="14"/>
      <c r="H819" s="15"/>
    </row>
    <row r="820" spans="1:8">
      <c r="A820" s="8"/>
      <c r="C820" s="14"/>
      <c r="H820" s="15"/>
    </row>
    <row r="821" spans="1:8">
      <c r="A821" s="8"/>
      <c r="C821" s="14"/>
      <c r="H821" s="15"/>
    </row>
    <row r="822" spans="1:8">
      <c r="A822" s="8"/>
      <c r="C822" s="14"/>
      <c r="H822" s="15"/>
    </row>
    <row r="823" spans="1:8">
      <c r="A823" s="8"/>
      <c r="C823" s="14"/>
      <c r="H823" s="15"/>
    </row>
    <row r="824" spans="1:8">
      <c r="A824" s="8"/>
      <c r="C824" s="14"/>
      <c r="H824" s="15"/>
    </row>
    <row r="825" spans="1:8">
      <c r="A825" s="8"/>
      <c r="C825" s="14"/>
      <c r="H825" s="15"/>
    </row>
    <row r="826" spans="1:8">
      <c r="A826" s="8"/>
      <c r="C826" s="14"/>
      <c r="H826" s="15"/>
    </row>
    <row r="827" spans="1:8">
      <c r="A827" s="8"/>
      <c r="C827" s="14"/>
      <c r="H827" s="15"/>
    </row>
    <row r="828" spans="1:8">
      <c r="A828" s="8"/>
      <c r="C828" s="14"/>
      <c r="H828" s="15"/>
    </row>
    <row r="829" spans="1:8">
      <c r="A829" s="8"/>
      <c r="C829" s="14"/>
      <c r="H829" s="15"/>
    </row>
    <row r="830" spans="1:8">
      <c r="A830" s="8"/>
      <c r="C830" s="14"/>
      <c r="H830" s="15"/>
    </row>
    <row r="831" spans="1:8">
      <c r="A831" s="8"/>
      <c r="C831" s="14"/>
      <c r="H831" s="15"/>
    </row>
    <row r="832" spans="1:8">
      <c r="A832" s="8"/>
      <c r="C832" s="14"/>
      <c r="H832" s="15"/>
    </row>
    <row r="833" spans="1:8">
      <c r="A833" s="8"/>
      <c r="C833" s="14"/>
      <c r="H833" s="15"/>
    </row>
    <row r="834" spans="1:8">
      <c r="A834" s="8"/>
      <c r="C834" s="14"/>
      <c r="H834" s="15"/>
    </row>
    <row r="835" spans="1:8">
      <c r="A835" s="8"/>
      <c r="C835" s="14"/>
      <c r="H835" s="15"/>
    </row>
    <row r="836" spans="1:8">
      <c r="A836" s="8"/>
      <c r="C836" s="14"/>
      <c r="H836" s="15"/>
    </row>
    <row r="837" spans="1:8">
      <c r="A837" s="8"/>
      <c r="C837" s="14"/>
      <c r="H837" s="15"/>
    </row>
    <row r="838" spans="1:8">
      <c r="A838" s="8"/>
      <c r="C838" s="14"/>
      <c r="H838" s="15"/>
    </row>
    <row r="839" spans="1:8">
      <c r="A839" s="8"/>
      <c r="C839" s="14"/>
      <c r="H839" s="15"/>
    </row>
    <row r="840" spans="1:8">
      <c r="A840" s="8"/>
      <c r="C840" s="14"/>
      <c r="H840" s="15"/>
    </row>
    <row r="841" spans="1:8">
      <c r="A841" s="8"/>
      <c r="C841" s="14"/>
      <c r="H841" s="15"/>
    </row>
    <row r="842" spans="1:8">
      <c r="A842" s="8"/>
      <c r="C842" s="14"/>
      <c r="H842" s="15"/>
    </row>
    <row r="843" spans="1:8">
      <c r="A843" s="8"/>
      <c r="C843" s="14"/>
      <c r="H843" s="15"/>
    </row>
    <row r="844" spans="1:8">
      <c r="A844" s="8"/>
      <c r="C844" s="14"/>
      <c r="H844" s="15"/>
    </row>
    <row r="845" spans="1:8">
      <c r="A845" s="8"/>
      <c r="C845" s="14"/>
      <c r="H845" s="15"/>
    </row>
    <row r="846" spans="1:8">
      <c r="A846" s="8"/>
      <c r="C846" s="14"/>
      <c r="H846" s="15"/>
    </row>
    <row r="847" spans="1:8">
      <c r="A847" s="8"/>
      <c r="C847" s="14"/>
      <c r="H847" s="15"/>
    </row>
    <row r="848" spans="1:8">
      <c r="A848" s="8"/>
      <c r="C848" s="14"/>
      <c r="H848" s="15"/>
    </row>
    <row r="849" spans="1:8">
      <c r="A849" s="8"/>
      <c r="C849" s="14"/>
      <c r="H849" s="15"/>
    </row>
    <row r="850" spans="1:8">
      <c r="A850" s="8"/>
      <c r="C850" s="14"/>
      <c r="H850" s="15"/>
    </row>
    <row r="851" spans="1:8">
      <c r="A851" s="8"/>
      <c r="C851" s="14"/>
      <c r="H851" s="15"/>
    </row>
    <row r="852" spans="1:8">
      <c r="A852" s="8"/>
      <c r="C852" s="14"/>
      <c r="H852" s="15"/>
    </row>
    <row r="853" spans="1:8">
      <c r="A853" s="8"/>
      <c r="C853" s="14"/>
      <c r="H853" s="15"/>
    </row>
    <row r="854" spans="1:8">
      <c r="A854" s="8"/>
      <c r="C854" s="14"/>
      <c r="H854" s="15"/>
    </row>
    <row r="855" spans="1:8">
      <c r="A855" s="8"/>
      <c r="C855" s="14"/>
      <c r="H855" s="15"/>
    </row>
    <row r="856" spans="1:8">
      <c r="A856" s="8"/>
      <c r="C856" s="14"/>
      <c r="H856" s="15"/>
    </row>
    <row r="857" spans="1:8">
      <c r="A857" s="8"/>
      <c r="C857" s="14"/>
      <c r="H857" s="15"/>
    </row>
    <row r="858" spans="1:8">
      <c r="A858" s="8"/>
      <c r="C858" s="14"/>
      <c r="H858" s="15"/>
    </row>
    <row r="859" spans="1:8">
      <c r="A859" s="8"/>
      <c r="C859" s="14"/>
      <c r="H859" s="15"/>
    </row>
    <row r="860" spans="1:8">
      <c r="A860" s="8"/>
      <c r="C860" s="14"/>
      <c r="H860" s="15"/>
    </row>
    <row r="861" spans="1:8">
      <c r="A861" s="8"/>
      <c r="C861" s="14"/>
      <c r="H861" s="15"/>
    </row>
    <row r="862" spans="1:8">
      <c r="A862" s="8"/>
      <c r="C862" s="14"/>
      <c r="H862" s="15"/>
    </row>
    <row r="863" spans="1:8">
      <c r="A863" s="8"/>
      <c r="C863" s="14"/>
      <c r="H863" s="15"/>
    </row>
    <row r="864" spans="1:8">
      <c r="A864" s="8"/>
      <c r="C864" s="14"/>
      <c r="H864" s="15"/>
    </row>
    <row r="865" spans="1:8">
      <c r="A865" s="8"/>
      <c r="C865" s="14"/>
      <c r="H865" s="15"/>
    </row>
    <row r="866" spans="1:8">
      <c r="A866" s="8"/>
      <c r="C866" s="14"/>
      <c r="H866" s="15"/>
    </row>
    <row r="867" spans="1:8">
      <c r="A867" s="8"/>
      <c r="C867" s="14"/>
      <c r="H867" s="15"/>
    </row>
    <row r="868" spans="1:8">
      <c r="A868" s="8"/>
      <c r="C868" s="14"/>
      <c r="H868" s="15"/>
    </row>
    <row r="869" spans="1:8">
      <c r="A869" s="8"/>
      <c r="C869" s="14"/>
      <c r="H869" s="15"/>
    </row>
    <row r="870" spans="1:8">
      <c r="A870" s="8"/>
      <c r="C870" s="14"/>
      <c r="H870" s="15"/>
    </row>
    <row r="871" spans="1:8">
      <c r="A871" s="8"/>
      <c r="C871" s="14"/>
      <c r="H871" s="15"/>
    </row>
    <row r="872" spans="1:8">
      <c r="A872" s="8"/>
      <c r="C872" s="14"/>
      <c r="H872" s="15"/>
    </row>
    <row r="873" spans="1:8">
      <c r="A873" s="8"/>
      <c r="C873" s="14"/>
      <c r="H873" s="15"/>
    </row>
    <row r="874" spans="1:8">
      <c r="A874" s="8"/>
      <c r="C874" s="14"/>
      <c r="H874" s="15"/>
    </row>
    <row r="875" spans="1:8">
      <c r="A875" s="8"/>
      <c r="C875" s="14"/>
      <c r="H875" s="15"/>
    </row>
    <row r="876" spans="1:8">
      <c r="A876" s="8"/>
      <c r="C876" s="14"/>
      <c r="H876" s="15"/>
    </row>
    <row r="877" spans="1:8">
      <c r="A877" s="8"/>
      <c r="C877" s="14"/>
      <c r="H877" s="15"/>
    </row>
    <row r="878" spans="1:8">
      <c r="A878" s="8"/>
      <c r="C878" s="14"/>
      <c r="H878" s="15"/>
    </row>
    <row r="879" spans="1:8">
      <c r="A879" s="8"/>
      <c r="C879" s="14"/>
      <c r="H879" s="15"/>
    </row>
    <row r="880" spans="1:8">
      <c r="A880" s="8"/>
      <c r="C880" s="14"/>
      <c r="H880" s="15"/>
    </row>
    <row r="881" spans="1:8">
      <c r="A881" s="8"/>
      <c r="C881" s="14"/>
      <c r="H881" s="15"/>
    </row>
    <row r="882" spans="1:8">
      <c r="A882" s="8"/>
      <c r="C882" s="14"/>
      <c r="H882" s="15"/>
    </row>
    <row r="883" spans="1:8">
      <c r="A883" s="8"/>
      <c r="C883" s="14"/>
      <c r="H883" s="15"/>
    </row>
    <row r="884" spans="1:8">
      <c r="A884" s="8"/>
      <c r="C884" s="14"/>
      <c r="H884" s="15"/>
    </row>
    <row r="885" spans="1:8">
      <c r="A885" s="8"/>
      <c r="C885" s="14"/>
      <c r="H885" s="15"/>
    </row>
    <row r="886" spans="1:8">
      <c r="A886" s="8"/>
      <c r="C886" s="14"/>
      <c r="H886" s="15"/>
    </row>
    <row r="887" spans="1:8">
      <c r="A887" s="8"/>
      <c r="C887" s="14"/>
      <c r="H887" s="15"/>
    </row>
    <row r="888" spans="1:8">
      <c r="A888" s="8"/>
      <c r="C888" s="14"/>
      <c r="H888" s="15"/>
    </row>
    <row r="889" spans="1:8">
      <c r="A889" s="8"/>
      <c r="C889" s="14"/>
      <c r="H889" s="15"/>
    </row>
    <row r="890" spans="1:8">
      <c r="A890" s="8"/>
      <c r="C890" s="14"/>
      <c r="H890" s="15"/>
    </row>
    <row r="891" spans="1:8">
      <c r="A891" s="8"/>
      <c r="C891" s="14"/>
      <c r="H891" s="15"/>
    </row>
    <row r="892" spans="1:8">
      <c r="A892" s="8"/>
      <c r="C892" s="14"/>
      <c r="H892" s="15"/>
    </row>
    <row r="893" spans="1:8">
      <c r="A893" s="8"/>
      <c r="C893" s="14"/>
      <c r="H893" s="15"/>
    </row>
    <row r="894" spans="1:8">
      <c r="A894" s="8"/>
      <c r="C894" s="14"/>
      <c r="H894" s="15"/>
    </row>
    <row r="895" spans="1:8">
      <c r="A895" s="8"/>
      <c r="C895" s="14"/>
      <c r="H895" s="15"/>
    </row>
    <row r="896" spans="1:8">
      <c r="A896" s="8"/>
      <c r="C896" s="14"/>
      <c r="H896" s="15"/>
    </row>
    <row r="897" spans="1:8">
      <c r="A897" s="8"/>
      <c r="C897" s="14"/>
      <c r="H897" s="15"/>
    </row>
    <row r="898" spans="1:8">
      <c r="A898" s="8"/>
      <c r="C898" s="14"/>
      <c r="H898" s="15"/>
    </row>
    <row r="899" spans="1:8">
      <c r="A899" s="8"/>
      <c r="C899" s="14"/>
      <c r="H899" s="15"/>
    </row>
    <row r="900" spans="1:8">
      <c r="A900" s="8"/>
      <c r="C900" s="14"/>
      <c r="H900" s="15"/>
    </row>
    <row r="901" spans="1:8">
      <c r="A901" s="8"/>
      <c r="C901" s="14"/>
      <c r="H901" s="15"/>
    </row>
    <row r="902" spans="1:8">
      <c r="A902" s="8"/>
      <c r="C902" s="14"/>
      <c r="H902" s="15"/>
    </row>
    <row r="903" spans="1:8">
      <c r="A903" s="8"/>
      <c r="C903" s="14"/>
      <c r="H903" s="15"/>
    </row>
    <row r="904" spans="1:8">
      <c r="A904" s="8"/>
      <c r="C904" s="14"/>
      <c r="H904" s="15"/>
    </row>
    <row r="905" spans="1:8">
      <c r="A905" s="8"/>
      <c r="C905" s="14"/>
      <c r="H905" s="15"/>
    </row>
    <row r="906" spans="1:8">
      <c r="A906" s="8"/>
      <c r="C906" s="14"/>
      <c r="H906" s="15"/>
    </row>
    <row r="907" spans="1:8">
      <c r="A907" s="8"/>
      <c r="C907" s="14"/>
      <c r="H907" s="15"/>
    </row>
    <row r="908" spans="1:8">
      <c r="A908" s="8"/>
      <c r="C908" s="14"/>
      <c r="H908" s="15"/>
    </row>
    <row r="909" spans="1:8">
      <c r="A909" s="8"/>
      <c r="C909" s="14"/>
      <c r="H909" s="15"/>
    </row>
    <row r="910" spans="1:8">
      <c r="A910" s="8"/>
      <c r="C910" s="14"/>
      <c r="H910" s="15"/>
    </row>
    <row r="911" spans="1:8">
      <c r="A911" s="8"/>
      <c r="C911" s="14"/>
      <c r="H911" s="15"/>
    </row>
    <row r="912" spans="1:8">
      <c r="A912" s="8"/>
      <c r="C912" s="14"/>
      <c r="H912" s="15"/>
    </row>
    <row r="913" spans="1:8">
      <c r="A913" s="8"/>
      <c r="C913" s="14"/>
      <c r="H913" s="15"/>
    </row>
    <row r="914" spans="1:8">
      <c r="A914" s="8"/>
      <c r="C914" s="14"/>
      <c r="H914" s="15"/>
    </row>
    <row r="915" spans="1:8">
      <c r="A915" s="8"/>
      <c r="C915" s="14"/>
      <c r="H915" s="15"/>
    </row>
    <row r="916" spans="1:8">
      <c r="A916" s="8"/>
      <c r="C916" s="14"/>
      <c r="H916" s="15"/>
    </row>
    <row r="917" spans="1:8">
      <c r="A917" s="8"/>
      <c r="C917" s="14"/>
      <c r="H917" s="15"/>
    </row>
    <row r="918" spans="1:8">
      <c r="A918" s="8"/>
      <c r="C918" s="14"/>
      <c r="H918" s="15"/>
    </row>
    <row r="919" spans="1:8">
      <c r="A919" s="8"/>
      <c r="C919" s="14"/>
      <c r="H919" s="15"/>
    </row>
    <row r="920" spans="1:8">
      <c r="A920" s="8"/>
      <c r="C920" s="14"/>
      <c r="H920" s="15"/>
    </row>
    <row r="921" spans="1:8">
      <c r="A921" s="8"/>
      <c r="C921" s="14"/>
      <c r="H921" s="15"/>
    </row>
    <row r="922" spans="1:8">
      <c r="A922" s="8"/>
      <c r="C922" s="14"/>
      <c r="H922" s="15"/>
    </row>
    <row r="923" spans="1:8">
      <c r="A923" s="8"/>
      <c r="C923" s="14"/>
      <c r="H923" s="15"/>
    </row>
    <row r="924" spans="1:8">
      <c r="A924" s="8"/>
      <c r="C924" s="14"/>
      <c r="H924" s="15"/>
    </row>
    <row r="925" spans="1:8">
      <c r="A925" s="8"/>
      <c r="C925" s="14"/>
      <c r="H925" s="15"/>
    </row>
    <row r="926" spans="1:8">
      <c r="A926" s="8"/>
      <c r="C926" s="14"/>
      <c r="H926" s="15"/>
    </row>
    <row r="927" spans="1:8">
      <c r="A927" s="8"/>
      <c r="C927" s="14"/>
      <c r="H927" s="15"/>
    </row>
    <row r="928" spans="1:8">
      <c r="A928" s="8"/>
      <c r="C928" s="14"/>
      <c r="H928" s="15"/>
    </row>
    <row r="929" spans="1:8">
      <c r="A929" s="8"/>
      <c r="C929" s="14"/>
      <c r="H929" s="15"/>
    </row>
    <row r="930" spans="1:8">
      <c r="A930" s="8"/>
      <c r="C930" s="14"/>
      <c r="H930" s="15"/>
    </row>
    <row r="931" spans="1:8">
      <c r="A931" s="8"/>
      <c r="C931" s="14"/>
      <c r="H931" s="15"/>
    </row>
    <row r="932" spans="1:8">
      <c r="A932" s="8"/>
      <c r="C932" s="14"/>
      <c r="H932" s="15"/>
    </row>
    <row r="933" spans="1:8">
      <c r="A933" s="8"/>
      <c r="C933" s="14"/>
      <c r="H933" s="15"/>
    </row>
    <row r="934" spans="1:8">
      <c r="A934" s="8"/>
      <c r="C934" s="14"/>
      <c r="H934" s="15"/>
    </row>
    <row r="935" spans="1:8">
      <c r="A935" s="8"/>
      <c r="C935" s="14"/>
      <c r="H935" s="15"/>
    </row>
    <row r="936" spans="1:8">
      <c r="A936" s="8"/>
      <c r="C936" s="14"/>
      <c r="H936" s="15"/>
    </row>
    <row r="937" spans="1:8">
      <c r="A937" s="8"/>
      <c r="C937" s="14"/>
      <c r="H937" s="15"/>
    </row>
    <row r="938" spans="1:8">
      <c r="A938" s="8"/>
      <c r="C938" s="14"/>
      <c r="H938" s="15"/>
    </row>
    <row r="939" spans="1:8">
      <c r="A939" s="8"/>
      <c r="C939" s="14"/>
      <c r="H939" s="15"/>
    </row>
    <row r="940" spans="1:8">
      <c r="A940" s="8"/>
      <c r="C940" s="14"/>
      <c r="H940" s="15"/>
    </row>
    <row r="941" spans="1:8">
      <c r="A941" s="8"/>
      <c r="C941" s="14"/>
      <c r="H941" s="15"/>
    </row>
    <row r="942" spans="1:8">
      <c r="A942" s="8"/>
      <c r="C942" s="14"/>
      <c r="H942" s="15"/>
    </row>
    <row r="943" spans="1:8">
      <c r="A943" s="8"/>
      <c r="C943" s="14"/>
      <c r="H943" s="15"/>
    </row>
    <row r="944" spans="1:8">
      <c r="A944" s="8"/>
      <c r="C944" s="14"/>
      <c r="H944" s="15"/>
    </row>
    <row r="945" spans="1:8">
      <c r="A945" s="8"/>
      <c r="C945" s="14"/>
      <c r="H945" s="15"/>
    </row>
    <row r="946" spans="1:8">
      <c r="A946" s="8"/>
      <c r="C946" s="14"/>
      <c r="H946" s="15"/>
    </row>
    <row r="947" spans="1:8">
      <c r="A947" s="8"/>
      <c r="C947" s="14"/>
      <c r="H947" s="15"/>
    </row>
    <row r="948" spans="1:8">
      <c r="A948" s="8"/>
      <c r="C948" s="14"/>
      <c r="H948" s="15"/>
    </row>
    <row r="949" spans="1:8">
      <c r="A949" s="8"/>
      <c r="C949" s="14"/>
      <c r="H949" s="15"/>
    </row>
    <row r="950" spans="1:8">
      <c r="A950" s="8"/>
      <c r="C950" s="14"/>
      <c r="H950" s="15"/>
    </row>
    <row r="951" spans="1:8">
      <c r="A951" s="8"/>
      <c r="C951" s="14"/>
      <c r="H951" s="15"/>
    </row>
    <row r="952" spans="1:8">
      <c r="A952" s="8"/>
      <c r="C952" s="14"/>
      <c r="H952" s="15"/>
    </row>
    <row r="953" spans="1:8">
      <c r="A953" s="8"/>
      <c r="C953" s="14"/>
      <c r="H953" s="15"/>
    </row>
    <row r="954" spans="1:8">
      <c r="A954" s="8"/>
      <c r="C954" s="14"/>
      <c r="H954" s="15"/>
    </row>
    <row r="955" spans="1:8">
      <c r="A955" s="8"/>
      <c r="C955" s="14"/>
      <c r="H955" s="15"/>
    </row>
    <row r="956" spans="1:8">
      <c r="A956" s="8"/>
      <c r="C956" s="14"/>
      <c r="H956" s="15"/>
    </row>
    <row r="957" spans="1:8">
      <c r="A957" s="8"/>
      <c r="C957" s="14"/>
      <c r="H957" s="15"/>
    </row>
    <row r="958" spans="1:8">
      <c r="A958" s="8"/>
      <c r="C958" s="14"/>
      <c r="H958" s="15"/>
    </row>
    <row r="959" spans="1:8">
      <c r="A959" s="8"/>
      <c r="C959" s="14"/>
      <c r="H959" s="15"/>
    </row>
    <row r="960" spans="1:8">
      <c r="A960" s="8"/>
      <c r="C960" s="14"/>
      <c r="H960" s="15"/>
    </row>
    <row r="961" spans="1:8">
      <c r="A961" s="8"/>
      <c r="C961" s="14"/>
      <c r="H961" s="15"/>
    </row>
    <row r="962" spans="1:8">
      <c r="A962" s="8"/>
      <c r="C962" s="14"/>
      <c r="H962" s="15"/>
    </row>
    <row r="963" spans="1:8">
      <c r="A963" s="8"/>
      <c r="C963" s="14"/>
      <c r="H963" s="15"/>
    </row>
    <row r="964" spans="1:8">
      <c r="A964" s="8"/>
      <c r="C964" s="14"/>
      <c r="H964" s="15"/>
    </row>
    <row r="965" spans="1:8">
      <c r="A965" s="8"/>
      <c r="C965" s="14"/>
      <c r="H965" s="15"/>
    </row>
    <row r="966" spans="1:8">
      <c r="A966" s="8"/>
      <c r="C966" s="14"/>
      <c r="H966" s="15"/>
    </row>
    <row r="967" spans="1:8">
      <c r="A967" s="8"/>
      <c r="C967" s="14"/>
      <c r="H967" s="15"/>
    </row>
    <row r="968" spans="1:8">
      <c r="A968" s="8"/>
      <c r="C968" s="14"/>
      <c r="H968" s="15"/>
    </row>
    <row r="969" spans="1:8">
      <c r="A969" s="8"/>
      <c r="C969" s="14"/>
      <c r="H969" s="15"/>
    </row>
    <row r="970" spans="1:8">
      <c r="A970" s="8"/>
      <c r="C970" s="14"/>
      <c r="H970" s="15"/>
    </row>
    <row r="971" spans="1:8">
      <c r="A971" s="8"/>
      <c r="C971" s="14"/>
      <c r="H971" s="15"/>
    </row>
    <row r="972" spans="1:8">
      <c r="A972" s="8"/>
      <c r="C972" s="14"/>
      <c r="H972" s="15"/>
    </row>
    <row r="973" spans="1:8">
      <c r="A973" s="8"/>
      <c r="C973" s="14"/>
      <c r="H973" s="15"/>
    </row>
    <row r="974" spans="1:8">
      <c r="A974" s="8"/>
      <c r="C974" s="14"/>
      <c r="H974" s="15"/>
    </row>
    <row r="975" spans="1:8">
      <c r="A975" s="8"/>
      <c r="C975" s="14"/>
      <c r="H975" s="15"/>
    </row>
    <row r="976" spans="1:8">
      <c r="A976" s="8"/>
      <c r="C976" s="14"/>
      <c r="H976" s="15"/>
    </row>
    <row r="977" spans="1:8">
      <c r="A977" s="8"/>
      <c r="C977" s="14"/>
      <c r="H977" s="15"/>
    </row>
    <row r="978" spans="1:8">
      <c r="A978" s="8"/>
      <c r="C978" s="14"/>
      <c r="H978" s="15"/>
    </row>
    <row r="979" spans="1:8">
      <c r="A979" s="8"/>
      <c r="C979" s="14"/>
      <c r="H979" s="15"/>
    </row>
    <row r="980" spans="1:8">
      <c r="A980" s="8"/>
      <c r="C980" s="14"/>
      <c r="H980" s="15"/>
    </row>
    <row r="981" spans="1:8">
      <c r="A981" s="8"/>
      <c r="C981" s="14"/>
      <c r="H981" s="15"/>
    </row>
    <row r="982" spans="1:8">
      <c r="A982" s="8"/>
      <c r="C982" s="14"/>
      <c r="H982" s="15"/>
    </row>
    <row r="983" spans="1:8">
      <c r="A983" s="8"/>
      <c r="C983" s="14"/>
      <c r="H983" s="15"/>
    </row>
    <row r="984" spans="1:8">
      <c r="A984" s="8"/>
      <c r="C984" s="14"/>
      <c r="H984" s="15"/>
    </row>
    <row r="985" spans="1:8">
      <c r="A985" s="8"/>
      <c r="C985" s="14"/>
      <c r="H985" s="15"/>
    </row>
    <row r="986" spans="1:8">
      <c r="A986" s="8"/>
      <c r="C986" s="14"/>
      <c r="H986" s="15"/>
    </row>
    <row r="987" spans="1:8">
      <c r="A987" s="8"/>
      <c r="C987" s="14"/>
      <c r="H987" s="15"/>
    </row>
    <row r="988" spans="1:8">
      <c r="A988" s="8"/>
      <c r="C988" s="14"/>
      <c r="H988" s="15"/>
    </row>
    <row r="989" spans="1:8">
      <c r="A989" s="8"/>
      <c r="C989" s="14"/>
      <c r="H989" s="15"/>
    </row>
    <row r="990" spans="1:8">
      <c r="A990" s="8"/>
      <c r="C990" s="14"/>
      <c r="H990" s="15"/>
    </row>
    <row r="991" spans="1:8">
      <c r="A991" s="8"/>
      <c r="C991" s="14"/>
      <c r="H991" s="15"/>
    </row>
    <row r="992" spans="1:8">
      <c r="A992" s="8"/>
      <c r="C992" s="14"/>
      <c r="H992" s="15"/>
    </row>
    <row r="993" spans="1:8">
      <c r="A993" s="8"/>
      <c r="C993" s="14"/>
      <c r="H993" s="15"/>
    </row>
    <row r="994" spans="1:8">
      <c r="A994" s="8"/>
      <c r="C994" s="14"/>
      <c r="H994" s="15"/>
    </row>
    <row r="995" spans="1:8">
      <c r="A995" s="8"/>
      <c r="C995" s="14"/>
      <c r="H995" s="15"/>
    </row>
    <row r="996" spans="1:8">
      <c r="A996" s="8"/>
      <c r="C996" s="14"/>
      <c r="H996" s="15"/>
    </row>
    <row r="997" spans="1:8">
      <c r="A997" s="8"/>
      <c r="C997" s="14"/>
      <c r="H997" s="15"/>
    </row>
    <row r="998" spans="1:8">
      <c r="A998" s="8"/>
      <c r="C998" s="14"/>
      <c r="H998" s="15"/>
    </row>
    <row r="999" spans="1:8">
      <c r="A999" s="8"/>
      <c r="C999" s="14"/>
      <c r="H999" s="15"/>
    </row>
    <row r="1000" spans="1:8">
      <c r="A1000" s="8"/>
      <c r="C1000" s="14"/>
      <c r="H1000" s="15"/>
    </row>
    <row r="1001" spans="1:8">
      <c r="A1001" s="8"/>
      <c r="C1001" s="14"/>
      <c r="H1001" s="15"/>
    </row>
  </sheetData>
  <autoFilter ref="F1:F1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955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4.1640625" customWidth="1"/>
    <col min="2" max="2" width="26.6640625" customWidth="1"/>
    <col min="3" max="3" width="17.5" customWidth="1"/>
    <col min="4" max="4" width="18.1640625" customWidth="1"/>
    <col min="5" max="5" width="31.6640625" customWidth="1"/>
    <col min="6" max="6" width="51.6640625" customWidth="1"/>
    <col min="7" max="7" width="24.83203125" customWidth="1"/>
    <col min="8" max="8" width="14.5" customWidth="1"/>
    <col min="9" max="10" width="14.33203125" customWidth="1"/>
    <col min="11" max="11" width="27.6640625" customWidth="1"/>
    <col min="12" max="13" width="15.5" customWidth="1"/>
    <col min="14" max="14" width="12.1640625" customWidth="1"/>
    <col min="15" max="15" width="18.83203125" customWidth="1"/>
    <col min="16" max="16" width="12.33203125" customWidth="1"/>
    <col min="17" max="17" width="15.6640625" customWidth="1"/>
    <col min="18" max="19" width="10.6640625" customWidth="1"/>
    <col min="20" max="20" width="12.5" customWidth="1"/>
    <col min="21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 t="s">
        <v>14</v>
      </c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2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1</v>
      </c>
      <c r="B4" s="26" t="str">
        <f ca="1">IF($E4="","",VLOOKUP(D4,códigos!$F:$G,2,FALSE))</f>
        <v>Luis Alberto Rodríguez</v>
      </c>
      <c r="C4" s="27" t="s">
        <v>17</v>
      </c>
      <c r="D4" s="28" t="str">
        <f ca="1">IF(E4="","",VLOOKUP($E4,códigos!$E:$F,2,FALSE))</f>
        <v>LAA78</v>
      </c>
      <c r="E4" s="29" t="s">
        <v>18</v>
      </c>
      <c r="F4" s="25" t="s">
        <v>19</v>
      </c>
      <c r="G4" s="29" t="s">
        <v>20</v>
      </c>
      <c r="H4" s="30"/>
      <c r="I4" s="31">
        <v>46034</v>
      </c>
      <c r="J4" s="29">
        <v>-4432</v>
      </c>
      <c r="K4" s="26" t="str">
        <f>IF($C4="","",VLOOKUP(C4,códigos!$B:$C,2,FALSE))</f>
        <v>AUDICOST, S.L.U</v>
      </c>
      <c r="M4" s="32"/>
      <c r="N4" s="7" t="str">
        <f t="array" aca="1" ref="N4" ca="1">INDEX(códigos!E:E,MATCH(D4,códigos!F:F,0))</f>
        <v>Maria Del Carmen Salom Coveñas</v>
      </c>
    </row>
    <row r="5" spans="1:30" ht="15.75" customHeight="1">
      <c r="A5" s="25">
        <v>1</v>
      </c>
      <c r="B5" s="26" t="str">
        <f ca="1">IF($E5="","",VLOOKUP(D5,códigos!$F:$G,2,FALSE))</f>
        <v>Maika Blázquez</v>
      </c>
      <c r="C5" s="27" t="s">
        <v>21</v>
      </c>
      <c r="D5" s="28" t="str">
        <f ca="1">IF(E5="","",VLOOKUP($E5,códigos!$E:$F,2,FALSE))</f>
        <v>MBM149</v>
      </c>
      <c r="E5" s="29" t="s">
        <v>22</v>
      </c>
      <c r="F5" s="29" t="s">
        <v>23</v>
      </c>
      <c r="G5" s="29" t="s">
        <v>24</v>
      </c>
      <c r="H5" s="31">
        <v>46036</v>
      </c>
      <c r="I5" s="31">
        <v>46034</v>
      </c>
      <c r="J5" s="29">
        <v>-1700</v>
      </c>
      <c r="K5" s="26" t="str">
        <f>IF($C5="","",VLOOKUP(C5,códigos!$B:$C,2,FALSE))</f>
        <v>AUDIBRADA</v>
      </c>
      <c r="L5" s="27"/>
      <c r="M5" s="33"/>
      <c r="N5" s="7" t="str">
        <f t="array" aca="1" ref="N5" ca="1">INDEX(códigos!E:E,MATCH(D5,códigos!F:F,0))</f>
        <v>María Garrote Garrote</v>
      </c>
    </row>
    <row r="6" spans="1:30" ht="15.75" customHeight="1">
      <c r="A6" s="25">
        <v>1</v>
      </c>
      <c r="B6" s="26" t="str">
        <f ca="1">IF($E6="","",VLOOKUP(D6,códigos!$F:$G,2,FALSE))</f>
        <v>Maika Blázquez</v>
      </c>
      <c r="C6" s="27" t="s">
        <v>25</v>
      </c>
      <c r="D6" s="28" t="str">
        <f ca="1">IF(E6="","",VLOOKUP($E6,códigos!$E:$F,2,FALSE))</f>
        <v>MBM164</v>
      </c>
      <c r="E6" s="29" t="s">
        <v>26</v>
      </c>
      <c r="F6" s="25" t="s">
        <v>27</v>
      </c>
      <c r="G6" s="29" t="s">
        <v>28</v>
      </c>
      <c r="H6" s="30"/>
      <c r="I6" s="31">
        <v>46035</v>
      </c>
      <c r="J6" s="29">
        <v>-1663.35</v>
      </c>
      <c r="K6" s="26" t="str">
        <f>IF($C6="","",VLOOKUP(C6,códigos!$B:$C,2,FALSE))</f>
        <v>AUDIBRADA</v>
      </c>
      <c r="M6" s="32"/>
      <c r="N6" s="7" t="str">
        <f t="array" aca="1" ref="N6" ca="1">INDEX(códigos!E:E,MATCH(D6,códigos!F:F,0))</f>
        <v>Paloma Martín-Aragón Martín</v>
      </c>
    </row>
    <row r="7" spans="1:30" ht="15.75" customHeight="1">
      <c r="A7" s="25">
        <v>1</v>
      </c>
      <c r="B7" s="26" t="str">
        <f ca="1">IF($E7="","",VLOOKUP(D7,códigos!$F:$G,2,FALSE))</f>
        <v>Maika Blázquez</v>
      </c>
      <c r="C7" s="27" t="s">
        <v>25</v>
      </c>
      <c r="D7" s="28" t="str">
        <f ca="1">IF(E7="","",VLOOKUP($E7,códigos!$E:$F,2,FALSE))</f>
        <v>MBM111</v>
      </c>
      <c r="E7" s="29" t="s">
        <v>29</v>
      </c>
      <c r="F7" s="29" t="s">
        <v>27</v>
      </c>
      <c r="G7" s="29" t="s">
        <v>28</v>
      </c>
      <c r="H7" s="31"/>
      <c r="I7" s="31">
        <v>46035</v>
      </c>
      <c r="J7" s="29">
        <v>-1663.35</v>
      </c>
      <c r="K7" s="26" t="str">
        <f>IF($C7="","",VLOOKUP(C7,códigos!$B:$C,2,FALSE))</f>
        <v>AUDIBRADA</v>
      </c>
      <c r="L7" s="27"/>
      <c r="M7" s="33"/>
      <c r="N7" s="7" t="str">
        <f t="array" aca="1" ref="N7" ca="1">INDEX(códigos!E:E,MATCH(D7,códigos!F:F,0))</f>
        <v>Elisabeth Amarillo Espitia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 ht="15.75" customHeight="1">
      <c r="A8" s="25">
        <v>1</v>
      </c>
      <c r="B8" s="26" t="str">
        <f ca="1">IF($E8="","",VLOOKUP(D8,códigos!$F:$G,2,FALSE))</f>
        <v>Maika Blázquez</v>
      </c>
      <c r="C8" s="27" t="s">
        <v>30</v>
      </c>
      <c r="D8" s="28" t="str">
        <f ca="1">IF(E8="","",VLOOKUP($E8,códigos!$E:$F,2,FALSE))</f>
        <v>MBM50</v>
      </c>
      <c r="E8" s="29" t="s">
        <v>31</v>
      </c>
      <c r="F8" s="29" t="s">
        <v>32</v>
      </c>
      <c r="G8" s="29" t="s">
        <v>33</v>
      </c>
      <c r="H8" s="30">
        <v>46036</v>
      </c>
      <c r="I8" s="31">
        <v>46035</v>
      </c>
      <c r="J8" s="29">
        <f>-449.99*2</f>
        <v>-899.98</v>
      </c>
      <c r="K8" s="26" t="str">
        <f>IF($C8="","",VLOOKUP(C8,códigos!$B:$C,2,FALSE))</f>
        <v>AUDICOST, S.L.U</v>
      </c>
      <c r="L8" s="27"/>
      <c r="M8" s="35"/>
      <c r="N8" s="7" t="str">
        <f t="array" aca="1" ref="N8" ca="1">INDEX(códigos!E:E,MATCH(D8,códigos!F:F,0))</f>
        <v>José Gustavo Barroso Braojos</v>
      </c>
    </row>
    <row r="9" spans="1:30" ht="15.75" customHeight="1">
      <c r="A9" s="25">
        <v>1</v>
      </c>
      <c r="B9" s="26" t="str">
        <f ca="1">IF($E9="","",VLOOKUP(D9,códigos!$F:$G,2,FALSE))</f>
        <v>Luis Alberto Rodríguez</v>
      </c>
      <c r="C9" s="27" t="s">
        <v>34</v>
      </c>
      <c r="D9" s="28" t="str">
        <f ca="1">IF(E9="","",VLOOKUP($E9,códigos!$E:$F,2,FALSE))</f>
        <v>LAA08</v>
      </c>
      <c r="E9" s="29" t="s">
        <v>35</v>
      </c>
      <c r="F9" s="29" t="s">
        <v>36</v>
      </c>
      <c r="G9" s="29" t="s">
        <v>33</v>
      </c>
      <c r="H9" s="31">
        <v>46042</v>
      </c>
      <c r="I9" s="31">
        <v>46037</v>
      </c>
      <c r="J9" s="29">
        <v>-1289</v>
      </c>
      <c r="K9" s="26" t="str">
        <f>IF($C9="","",VLOOKUP(C9,códigos!$B:$C,2,FALSE))</f>
        <v>OIR VITAL CENTROS AUDITIVOS </v>
      </c>
      <c r="L9" s="27"/>
      <c r="M9" s="36"/>
      <c r="N9" s="7" t="str">
        <f t="array" aca="1" ref="N9" ca="1">INDEX(códigos!E:E,MATCH(D9,códigos!F:F,0))</f>
        <v>David Castro Gutiérrez de Agüero</v>
      </c>
    </row>
    <row r="10" spans="1:30" ht="15.75" customHeight="1">
      <c r="A10" s="37">
        <v>1</v>
      </c>
      <c r="B10" s="38" t="str">
        <f ca="1">IF($E10="","",VLOOKUP(D10,códigos!$F:$G,2,FALSE))</f>
        <v>Maika Blázquez</v>
      </c>
      <c r="C10" s="27" t="s">
        <v>37</v>
      </c>
      <c r="D10" s="39" t="str">
        <f ca="1">IF(E10="","",VLOOKUP($E10,códigos!$E:$F,2,FALSE))</f>
        <v>MBM136</v>
      </c>
      <c r="E10" s="29" t="s">
        <v>38</v>
      </c>
      <c r="F10" s="40" t="s">
        <v>39</v>
      </c>
      <c r="G10" s="29" t="s">
        <v>28</v>
      </c>
      <c r="H10" s="41">
        <v>46042</v>
      </c>
      <c r="I10" s="42">
        <v>46041</v>
      </c>
      <c r="J10" s="37">
        <v>-205.75</v>
      </c>
      <c r="K10" s="38" t="str">
        <f>IF($C10="","",VLOOKUP(C10,códigos!$B:$C,2,FALSE))</f>
        <v>AUDICOST LEGANES</v>
      </c>
      <c r="L10" s="40"/>
      <c r="M10" s="35">
        <v>46003</v>
      </c>
      <c r="N10" s="43" t="str">
        <f t="array" aca="1" ref="N10" ca="1">INDEX(códigos!E:E,MATCH(D10,códigos!F:F,0))</f>
        <v>Lorena Sanz López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 ht="15.75" customHeight="1">
      <c r="A11" s="25">
        <v>1</v>
      </c>
      <c r="B11" s="26" t="str">
        <f ca="1">IF($E11="","",VLOOKUP(D11,códigos!$F:$G,2,FALSE))</f>
        <v>Maika Blázquez</v>
      </c>
      <c r="C11" s="27" t="s">
        <v>40</v>
      </c>
      <c r="D11" s="28" t="str">
        <f ca="1">IF(E11="","",VLOOKUP($E11,códigos!$E:$F,2,FALSE))</f>
        <v>MBM52</v>
      </c>
      <c r="E11" s="29" t="s">
        <v>41</v>
      </c>
      <c r="F11" s="29" t="s">
        <v>42</v>
      </c>
      <c r="G11" s="29" t="s">
        <v>43</v>
      </c>
      <c r="H11" s="31">
        <v>46044</v>
      </c>
      <c r="I11" s="30">
        <v>46042</v>
      </c>
      <c r="J11" s="29">
        <v>-973</v>
      </c>
      <c r="K11" s="26" t="str">
        <f>IF($C11="","",VLOOKUP(C11,códigos!$B:$C,2,FALSE))</f>
        <v>SIEMA BLINK, S.L</v>
      </c>
      <c r="L11" s="27"/>
      <c r="M11" s="32"/>
      <c r="N11" s="7" t="str">
        <f t="array" aca="1" ref="N11" ca="1">INDEX(códigos!E:E,MATCH(D11,códigos!F:F,0))</f>
        <v>José Joaquín Gutiérrez Barquín</v>
      </c>
    </row>
    <row r="12" spans="1:30" ht="15.75" customHeight="1">
      <c r="A12" s="25">
        <v>1</v>
      </c>
      <c r="B12" s="26" t="str">
        <f ca="1">IF($E12="","",VLOOKUP(D12,códigos!$F:$G,2,FALSE))</f>
        <v>Maika Blázquez</v>
      </c>
      <c r="C12" s="27" t="s">
        <v>25</v>
      </c>
      <c r="D12" s="28" t="str">
        <f ca="1">IF(E12="","",VLOOKUP($E12,códigos!$E:$F,2,FALSE))</f>
        <v>MBM190</v>
      </c>
      <c r="E12" s="29" t="s">
        <v>44</v>
      </c>
      <c r="F12" s="29" t="s">
        <v>45</v>
      </c>
      <c r="G12" s="29" t="s">
        <v>28</v>
      </c>
      <c r="H12" s="37" t="s">
        <v>14</v>
      </c>
      <c r="I12" s="42">
        <v>46043</v>
      </c>
      <c r="J12" s="37">
        <f t="shared" ref="J12:J13" si="0">-2772.26/2</f>
        <v>-1386.13</v>
      </c>
      <c r="K12" s="26" t="str">
        <f>IF($C12="","",VLOOKUP(C12,códigos!$B:$C,2,FALSE))</f>
        <v>AUDIBRADA</v>
      </c>
      <c r="L12" s="27"/>
      <c r="M12" s="33"/>
      <c r="N12" s="7" t="str">
        <f t="array" aca="1" ref="N12" ca="1">INDEX(códigos!E:E,MATCH(D12,códigos!F:F,0))</f>
        <v>Cristina García García</v>
      </c>
    </row>
    <row r="13" spans="1:30" ht="15.75" customHeight="1">
      <c r="A13" s="25">
        <v>1</v>
      </c>
      <c r="B13" s="26" t="str">
        <f ca="1">IF($E13="","",VLOOKUP(D13,códigos!$F:$G,2,FALSE))</f>
        <v>Maika Blázquez</v>
      </c>
      <c r="C13" s="27" t="s">
        <v>25</v>
      </c>
      <c r="D13" s="28" t="str">
        <f ca="1">IF(E13="","",VLOOKUP($E13,códigos!$E:$F,2,FALSE))</f>
        <v>MBM190</v>
      </c>
      <c r="E13" s="29" t="s">
        <v>44</v>
      </c>
      <c r="F13" s="29" t="s">
        <v>46</v>
      </c>
      <c r="G13" s="29" t="s">
        <v>28</v>
      </c>
      <c r="H13" s="37" t="s">
        <v>14</v>
      </c>
      <c r="I13" s="42">
        <v>46043</v>
      </c>
      <c r="J13" s="37">
        <f t="shared" si="0"/>
        <v>-1386.13</v>
      </c>
      <c r="K13" s="26" t="str">
        <f>IF($C13="","",VLOOKUP(C13,códigos!$B:$C,2,FALSE))</f>
        <v>AUDIBRADA</v>
      </c>
      <c r="L13" s="27"/>
      <c r="M13" s="33"/>
      <c r="N13" s="7" t="str">
        <f t="array" aca="1" ref="N13" ca="1">INDEX(códigos!E:E,MATCH(D13,códigos!F:F,0))</f>
        <v>Cristina García García</v>
      </c>
    </row>
    <row r="14" spans="1:30" ht="15.75" customHeight="1">
      <c r="A14" s="25">
        <v>1</v>
      </c>
      <c r="B14" s="26" t="str">
        <f ca="1">IF($E14="","",VLOOKUP(D14,códigos!$F:$G,2,FALSE))</f>
        <v>Maika Blázquez</v>
      </c>
      <c r="C14" s="27" t="s">
        <v>47</v>
      </c>
      <c r="D14" s="28" t="str">
        <f ca="1">IF(E14="","",VLOOKUP($E14,códigos!$E:$F,2,FALSE))</f>
        <v>MBM224</v>
      </c>
      <c r="E14" s="29" t="s">
        <v>48</v>
      </c>
      <c r="F14" s="29" t="s">
        <v>49</v>
      </c>
      <c r="G14" s="29" t="s">
        <v>28</v>
      </c>
      <c r="H14" s="42">
        <v>46043</v>
      </c>
      <c r="I14" s="42">
        <v>46043</v>
      </c>
      <c r="J14" s="37">
        <v>-600</v>
      </c>
      <c r="K14" s="26" t="str">
        <f>IF($C14="","",VLOOKUP(C14,códigos!$B:$C,2,FALSE))</f>
        <v>AUDICOST, S.L.U</v>
      </c>
      <c r="L14" s="27"/>
      <c r="M14" s="33"/>
      <c r="N14" s="7" t="str">
        <f t="array" aca="1" ref="N14" ca="1">INDEX(códigos!E:E,MATCH(D14,códigos!F:F,0))</f>
        <v>Roberto Sanz Garzón</v>
      </c>
    </row>
    <row r="15" spans="1:30" ht="15.75" customHeight="1">
      <c r="A15" s="25">
        <v>1</v>
      </c>
      <c r="B15" s="26" t="str">
        <f ca="1">IF($E15="","",VLOOKUP(D15,códigos!$F:$G,2,FALSE))</f>
        <v>Lisandro Russian</v>
      </c>
      <c r="C15" s="27" t="s">
        <v>50</v>
      </c>
      <c r="D15" s="28" t="str">
        <f ca="1">IF(E15="","",VLOOKUP($E15,códigos!$E:$F,2,FALSE))</f>
        <v>LRM151</v>
      </c>
      <c r="E15" s="29" t="s">
        <v>51</v>
      </c>
      <c r="F15" s="29" t="s">
        <v>52</v>
      </c>
      <c r="G15" s="29" t="s">
        <v>53</v>
      </c>
      <c r="H15" s="30">
        <v>46058</v>
      </c>
      <c r="I15" s="31">
        <v>46044</v>
      </c>
      <c r="J15" s="29">
        <v>-4701.07</v>
      </c>
      <c r="K15" s="26" t="str">
        <f>IF($C15="","",VLOOKUP(C15,códigos!$B:$C,2,FALSE))</f>
        <v>AUDICOST LOGROÑO </v>
      </c>
      <c r="L15" s="27"/>
      <c r="M15" s="44"/>
      <c r="N15" s="7" t="str">
        <f t="array" aca="1" ref="N15" ca="1">INDEX(códigos!E:E,MATCH(D15,códigos!F:F,0))</f>
        <v>Cristina Ibañez Muñoz</v>
      </c>
    </row>
    <row r="16" spans="1:30" ht="15.75" customHeight="1">
      <c r="A16" s="25">
        <v>1</v>
      </c>
      <c r="B16" s="26" t="str">
        <f ca="1">IF($E16="","",VLOOKUP(D16,códigos!$F:$G,2,FALSE))</f>
        <v>Ramon Ferrando</v>
      </c>
      <c r="C16" s="27" t="s">
        <v>54</v>
      </c>
      <c r="D16" s="28" t="str">
        <f ca="1">IF(E16="","",VLOOKUP($E16,códigos!$E:$F,2,FALSE))</f>
        <v>RFV38</v>
      </c>
      <c r="E16" s="29" t="s">
        <v>55</v>
      </c>
      <c r="F16" s="29" t="s">
        <v>56</v>
      </c>
      <c r="G16" s="29" t="s">
        <v>33</v>
      </c>
      <c r="H16" s="42"/>
      <c r="I16" s="42">
        <v>46045</v>
      </c>
      <c r="J16" s="37">
        <v>-1500</v>
      </c>
      <c r="K16" s="26" t="str">
        <f>IF($C16="","",VLOOKUP(C16,códigos!$B:$C,2,FALSE))</f>
        <v>AUDICANTE</v>
      </c>
      <c r="L16" s="37"/>
      <c r="M16" s="45"/>
      <c r="N16" s="7" t="str">
        <f t="array" aca="1" ref="N16" ca="1">INDEX(códigos!E:E,MATCH(D16,códigos!F:F,0))</f>
        <v>María Emilia García Ruiz</v>
      </c>
    </row>
    <row r="17" spans="1:30" ht="15.75" customHeight="1">
      <c r="A17" s="25">
        <v>1</v>
      </c>
      <c r="B17" s="26" t="str">
        <f ca="1">IF($E17="","",VLOOKUP(D17,códigos!$F:$G,2,FALSE))</f>
        <v>Maika Blázquez</v>
      </c>
      <c r="C17" s="27" t="s">
        <v>37</v>
      </c>
      <c r="D17" s="28" t="str">
        <f ca="1">IF(E17="","",VLOOKUP($E17,códigos!$E:$F,2,FALSE))</f>
        <v>MBM187</v>
      </c>
      <c r="E17" s="29" t="s">
        <v>57</v>
      </c>
      <c r="F17" s="25" t="s">
        <v>49</v>
      </c>
      <c r="G17" s="29" t="s">
        <v>28</v>
      </c>
      <c r="H17" s="30"/>
      <c r="I17" s="29"/>
      <c r="J17" s="29"/>
      <c r="K17" s="26" t="str">
        <f>IF($C17="","",VLOOKUP(C17,códigos!$B:$C,2,FALSE))</f>
        <v>AUDICOST LEGANES</v>
      </c>
      <c r="M17" s="36"/>
      <c r="N17" s="7" t="str">
        <f t="array" aca="1" ref="N17" ca="1">INDEX(códigos!E:E,MATCH(D17,códigos!F:F,0))</f>
        <v>Abel Bogoya Castaño</v>
      </c>
    </row>
    <row r="18" spans="1:30" ht="15.75" customHeight="1">
      <c r="A18" s="25">
        <v>1</v>
      </c>
      <c r="B18" s="26" t="str">
        <f ca="1">IF($E18="","",VLOOKUP(D18,códigos!$F:$G,2,FALSE))</f>
        <v>Ramon Ferrando</v>
      </c>
      <c r="C18" s="27" t="s">
        <v>58</v>
      </c>
      <c r="D18" s="28" t="str">
        <f ca="1">IF(E18="","",VLOOKUP($E18,códigos!$E:$F,2,FALSE))</f>
        <v>RFV48</v>
      </c>
      <c r="E18" s="29" t="s">
        <v>59</v>
      </c>
      <c r="F18" s="29" t="s">
        <v>49</v>
      </c>
      <c r="G18" s="29" t="s">
        <v>28</v>
      </c>
      <c r="H18" s="31">
        <v>46058</v>
      </c>
      <c r="I18" s="31">
        <v>46049</v>
      </c>
      <c r="J18" s="29">
        <v>-133.07</v>
      </c>
      <c r="K18" s="26" t="str">
        <f>IF($C18="","",VLOOKUP(C18,códigos!$B:$C,2,FALSE))</f>
        <v>AUDICANTE</v>
      </c>
      <c r="L18" s="27"/>
      <c r="M18" s="46"/>
      <c r="N18" s="7" t="str">
        <f t="array" aca="1" ref="N18" ca="1">INDEX(códigos!E:E,MATCH(D18,códigos!F:F,0))</f>
        <v>Elena González Turienzo</v>
      </c>
    </row>
    <row r="19" spans="1:30" ht="15.75" customHeight="1">
      <c r="A19" s="25">
        <v>1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29"/>
      <c r="I19" s="29"/>
      <c r="J19" s="29"/>
      <c r="K19" s="26" t="str">
        <f>IF($C19="","",VLOOKUP(C19,códigos!$B:$C,2,FALSE))</f>
        <v/>
      </c>
      <c r="L19" s="27"/>
      <c r="M19" s="46"/>
      <c r="N19" s="7" t="e">
        <f t="array" aca="1" ref="N19" ca="1">INDEX(códigos!E:E,MATCH(D19,códigos!F:F,0))</f>
        <v>#N/A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ht="15.75" customHeight="1">
      <c r="A20" s="25">
        <v>1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9"/>
      <c r="G20" s="29"/>
      <c r="H20" s="29"/>
      <c r="I20" s="29"/>
      <c r="J20" s="29"/>
      <c r="K20" s="26" t="str">
        <f>IF($C20="","",VLOOKUP(C20,códigos!$B:$C,2,FALSE))</f>
        <v/>
      </c>
      <c r="L20" s="27"/>
      <c r="M20" s="46"/>
      <c r="N20" s="7" t="e">
        <f t="array" aca="1" ref="N20" ca="1">INDEX(códigos!E:E,MATCH(D20,códigos!F:F,0))</f>
        <v>#N/A</v>
      </c>
    </row>
    <row r="21" spans="1:30" ht="15.75" customHeight="1">
      <c r="A21" s="25">
        <v>1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  <c r="N21" s="7" t="e">
        <f t="array" aca="1" ref="N21" ca="1">INDEX(códigos!E:E,MATCH(D21,códigos!F:F,0))</f>
        <v>#N/A</v>
      </c>
    </row>
    <row r="22" spans="1:30" ht="15.75" customHeight="1">
      <c r="A22" s="25">
        <v>1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  <c r="N22" s="7" t="e">
        <f t="array" aca="1" ref="N22" ca="1">INDEX(códigos!E:E,MATCH(D22,códigos!F:F,0))</f>
        <v>#N/A</v>
      </c>
    </row>
    <row r="23" spans="1:30" ht="15.75" customHeight="1">
      <c r="A23" s="25">
        <v>1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  <c r="N23" s="7" t="e">
        <f t="array" aca="1" ref="N23" ca="1">INDEX(códigos!E:E,MATCH(D23,códigos!F:F,0))</f>
        <v>#N/A</v>
      </c>
    </row>
    <row r="24" spans="1:30" ht="15.75" customHeight="1">
      <c r="A24" s="25">
        <v>1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7" t="e">
        <f t="array" aca="1" ref="N24" ca="1">INDEX(códigos!E:E,MATCH(D24,códigos!F:F,0))</f>
        <v>#N/A</v>
      </c>
    </row>
    <row r="25" spans="1:30" ht="15.75" customHeight="1">
      <c r="A25" s="25">
        <v>1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7" t="e">
        <f t="array" aca="1" ref="N25" ca="1">INDEX(códigos!E:E,MATCH(D25,códigos!F:F,0))</f>
        <v>#N/A</v>
      </c>
    </row>
    <row r="26" spans="1:30" ht="15.75" customHeight="1">
      <c r="A26" s="25"/>
      <c r="B26" s="25"/>
      <c r="D26" s="25"/>
      <c r="E26" s="25"/>
      <c r="F26" s="25"/>
      <c r="G26" s="25"/>
      <c r="H26" s="25"/>
      <c r="I26" s="25"/>
      <c r="J26" s="25"/>
      <c r="K26" s="25"/>
    </row>
    <row r="27" spans="1:30" ht="15.75" customHeight="1">
      <c r="A27" s="25"/>
      <c r="B27" s="25"/>
      <c r="D27" s="25"/>
      <c r="E27" s="25"/>
      <c r="F27" s="25"/>
      <c r="G27" s="25"/>
      <c r="H27" s="25"/>
      <c r="I27" s="25"/>
      <c r="J27" s="25"/>
      <c r="K27" s="25"/>
    </row>
    <row r="28" spans="1:30" ht="15.75" customHeight="1">
      <c r="A28" s="25"/>
      <c r="B28" s="25"/>
      <c r="D28" s="25"/>
      <c r="E28" s="25"/>
      <c r="F28" s="25"/>
      <c r="G28" s="25"/>
      <c r="H28" s="25"/>
      <c r="I28" s="25"/>
      <c r="J28" s="25"/>
      <c r="K28" s="25"/>
    </row>
    <row r="29" spans="1:30" ht="15.75" customHeight="1">
      <c r="A29" s="25"/>
      <c r="B29" s="25"/>
      <c r="D29" s="25"/>
      <c r="E29" s="25"/>
      <c r="F29" s="25"/>
      <c r="G29" s="25"/>
      <c r="H29" s="25"/>
      <c r="I29" s="25"/>
      <c r="J29" s="25"/>
      <c r="K29" s="25"/>
    </row>
    <row r="30" spans="1:30" ht="15.75" customHeight="1">
      <c r="A30" s="25"/>
      <c r="B30" s="25"/>
      <c r="D30" s="25"/>
      <c r="E30" s="25"/>
      <c r="F30" s="25"/>
      <c r="G30" s="25"/>
      <c r="H30" s="25"/>
      <c r="I30" s="25"/>
      <c r="J30" s="25"/>
      <c r="K30" s="25"/>
    </row>
    <row r="31" spans="1:30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30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1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2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2" t="s">
        <v>5</v>
      </c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9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9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9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9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9"/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5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5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5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5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5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1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2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2" t="s">
        <v>5</v>
      </c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9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9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9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9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9"/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5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5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5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5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5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1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2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2" t="s">
        <v>5</v>
      </c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9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9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9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9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9"/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5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5"/>
      <c r="F177" s="25"/>
      <c r="G177" s="25"/>
      <c r="H177" s="25"/>
      <c r="I177" s="25"/>
      <c r="J177" s="25"/>
      <c r="K177" s="25"/>
    </row>
    <row r="178" spans="1:11" ht="15.75" customHeight="1">
      <c r="A178" s="25"/>
      <c r="B178" s="25"/>
      <c r="D178" s="25"/>
      <c r="E178" s="25"/>
      <c r="F178" s="25"/>
      <c r="G178" s="25"/>
      <c r="H178" s="25"/>
      <c r="I178" s="25"/>
      <c r="J178" s="25"/>
      <c r="K178" s="25"/>
    </row>
    <row r="179" spans="1:11" ht="15.75" customHeight="1">
      <c r="A179" s="25"/>
      <c r="B179" s="25"/>
      <c r="D179" s="25"/>
      <c r="E179" s="25"/>
      <c r="F179" s="25"/>
      <c r="G179" s="25"/>
      <c r="H179" s="25"/>
      <c r="I179" s="25"/>
      <c r="J179" s="25"/>
      <c r="K179" s="25"/>
    </row>
    <row r="180" spans="1:11" ht="15.75" customHeight="1">
      <c r="A180" s="25"/>
      <c r="B180" s="25"/>
      <c r="D180" s="25"/>
      <c r="E180" s="25"/>
      <c r="F180" s="25"/>
      <c r="G180" s="25"/>
      <c r="H180" s="25"/>
      <c r="I180" s="25"/>
      <c r="J180" s="25"/>
      <c r="K180" s="25"/>
    </row>
    <row r="181" spans="1:11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</row>
    <row r="182" spans="1:11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</row>
    <row r="183" spans="1:11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</row>
    <row r="184" spans="1:11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</row>
    <row r="185" spans="1:11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</row>
    <row r="186" spans="1:11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</row>
    <row r="187" spans="1:11" ht="15.7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</row>
    <row r="188" spans="1:11" ht="15.75" customHeight="1">
      <c r="A188" s="25"/>
      <c r="B188" s="25"/>
      <c r="D188" s="25"/>
      <c r="E188" s="25"/>
      <c r="F188" s="25"/>
      <c r="G188" s="25"/>
      <c r="H188" s="25"/>
      <c r="I188" s="25"/>
      <c r="J188" s="25"/>
      <c r="K188" s="25"/>
    </row>
    <row r="189" spans="1:11" ht="15.75" customHeight="1">
      <c r="A189" s="25"/>
      <c r="B189" s="25"/>
      <c r="D189" s="25"/>
      <c r="E189" s="25"/>
      <c r="F189" s="25"/>
      <c r="G189" s="25"/>
      <c r="H189" s="25"/>
      <c r="I189" s="25"/>
      <c r="J189" s="25"/>
      <c r="K189" s="25"/>
    </row>
    <row r="190" spans="1:11" ht="15.75" customHeight="1">
      <c r="A190" s="25"/>
      <c r="B190" s="25"/>
      <c r="D190" s="25"/>
      <c r="E190" s="25"/>
      <c r="F190" s="25"/>
      <c r="G190" s="25"/>
      <c r="H190" s="25"/>
      <c r="I190" s="25"/>
      <c r="J190" s="25"/>
      <c r="K190" s="25"/>
    </row>
    <row r="191" spans="1:11" ht="15.75" customHeight="1">
      <c r="A191" s="25"/>
      <c r="B191" s="25"/>
      <c r="D191" s="25"/>
      <c r="E191" s="25"/>
      <c r="F191" s="25"/>
      <c r="G191" s="25"/>
      <c r="H191" s="25"/>
      <c r="I191" s="25"/>
      <c r="J191" s="25"/>
      <c r="K191" s="25"/>
    </row>
    <row r="192" spans="1:11" ht="15.75" customHeight="1">
      <c r="A192" s="25"/>
      <c r="B192" s="25"/>
      <c r="D192" s="25"/>
      <c r="E192" s="25"/>
      <c r="F192" s="25"/>
      <c r="G192" s="25"/>
      <c r="H192" s="25"/>
      <c r="I192" s="25"/>
      <c r="J192" s="25"/>
      <c r="K192" s="25"/>
    </row>
    <row r="193" spans="1:11" ht="15.75" customHeight="1">
      <c r="A193" s="25"/>
      <c r="B193" s="25"/>
      <c r="D193" s="25"/>
      <c r="E193" s="25"/>
      <c r="F193" s="25"/>
      <c r="G193" s="25"/>
      <c r="H193" s="25"/>
      <c r="I193" s="25"/>
      <c r="J193" s="25"/>
      <c r="K193" s="25"/>
    </row>
    <row r="194" spans="1:11" ht="15.75" customHeight="1">
      <c r="A194" s="25"/>
      <c r="B194" s="25"/>
      <c r="D194" s="25"/>
      <c r="E194" s="25"/>
      <c r="F194" s="25"/>
      <c r="G194" s="25"/>
      <c r="H194" s="25"/>
      <c r="I194" s="25"/>
      <c r="J194" s="25"/>
      <c r="K194" s="25"/>
    </row>
    <row r="195" spans="1:11" ht="15.75" customHeight="1">
      <c r="A195" s="25"/>
      <c r="B195" s="25"/>
      <c r="D195" s="25"/>
      <c r="E195" s="25"/>
      <c r="F195" s="25"/>
      <c r="G195" s="25"/>
      <c r="H195" s="25"/>
      <c r="I195" s="25"/>
      <c r="J195" s="25"/>
      <c r="K195" s="25"/>
    </row>
    <row r="196" spans="1:11" ht="15.75" customHeight="1">
      <c r="A196" s="25"/>
      <c r="B196" s="25"/>
      <c r="D196" s="25"/>
      <c r="E196" s="21"/>
      <c r="F196" s="25"/>
      <c r="G196" s="25"/>
      <c r="H196" s="25"/>
      <c r="I196" s="25"/>
      <c r="J196" s="25"/>
      <c r="K196" s="25"/>
    </row>
    <row r="197" spans="1:11" ht="15.75" customHeight="1">
      <c r="E197" s="22"/>
    </row>
    <row r="198" spans="1:11" ht="15.75" customHeight="1">
      <c r="E198" s="22" t="s">
        <v>5</v>
      </c>
    </row>
    <row r="199" spans="1:11" ht="15.75" customHeight="1">
      <c r="E199" s="29"/>
    </row>
    <row r="200" spans="1:11" ht="15.75" customHeight="1">
      <c r="E200" s="29"/>
    </row>
    <row r="201" spans="1:11" ht="15.75" customHeight="1">
      <c r="E201" s="29"/>
    </row>
    <row r="202" spans="1:11" ht="15.75" customHeight="1">
      <c r="E202" s="29"/>
    </row>
    <row r="203" spans="1:11" ht="15.75" customHeight="1">
      <c r="E203" s="29"/>
    </row>
    <row r="204" spans="1:11" ht="15.75" customHeight="1">
      <c r="E204" s="29"/>
    </row>
    <row r="205" spans="1:11" ht="15.75" customHeight="1">
      <c r="E205" s="29"/>
    </row>
    <row r="206" spans="1:11" ht="15.75" customHeight="1">
      <c r="E206" s="29"/>
    </row>
    <row r="207" spans="1:11" ht="15.75" customHeight="1">
      <c r="E207" s="29"/>
    </row>
    <row r="208" spans="1:11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5"/>
    </row>
    <row r="227" spans="5:5" ht="15.75" customHeight="1">
      <c r="E227" s="25"/>
    </row>
    <row r="228" spans="5:5" ht="15.75" customHeight="1">
      <c r="E228" s="25"/>
    </row>
    <row r="229" spans="5:5" ht="15.75" customHeight="1">
      <c r="E229" s="25"/>
    </row>
    <row r="230" spans="5:5" ht="15.75" customHeight="1">
      <c r="E230" s="25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1"/>
    </row>
    <row r="247" spans="5:5" ht="15.75" customHeight="1">
      <c r="E247" s="22"/>
    </row>
    <row r="248" spans="5:5" ht="15.75" customHeight="1">
      <c r="E248" s="22" t="s">
        <v>5</v>
      </c>
    </row>
    <row r="249" spans="5:5" ht="15.75" customHeight="1">
      <c r="E249" s="29"/>
    </row>
    <row r="250" spans="5:5" ht="15.75" customHeight="1">
      <c r="E250" s="29"/>
    </row>
    <row r="251" spans="5:5" ht="15.75" customHeight="1">
      <c r="E251" s="29"/>
    </row>
    <row r="252" spans="5:5" ht="15.75" customHeight="1">
      <c r="E252" s="29"/>
    </row>
    <row r="253" spans="5:5" ht="15.75" customHeight="1">
      <c r="E253" s="29"/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5"/>
    </row>
    <row r="277" spans="5:5" ht="15.75" customHeight="1">
      <c r="E277" s="25"/>
    </row>
    <row r="278" spans="5:5" ht="15.75" customHeight="1">
      <c r="E278" s="25"/>
    </row>
    <row r="279" spans="5:5" ht="15.75" customHeight="1">
      <c r="E279" s="25"/>
    </row>
    <row r="280" spans="5:5" ht="15.75" customHeight="1">
      <c r="E280" s="25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1"/>
    </row>
    <row r="297" spans="5:5" ht="15.75" customHeight="1">
      <c r="E297" s="22"/>
    </row>
    <row r="298" spans="5:5" ht="15.75" customHeight="1">
      <c r="E298" s="22" t="s">
        <v>5</v>
      </c>
    </row>
    <row r="299" spans="5:5" ht="15.75" customHeight="1">
      <c r="E299" s="29"/>
    </row>
    <row r="300" spans="5:5" ht="15.75" customHeight="1">
      <c r="E300" s="29"/>
    </row>
    <row r="301" spans="5:5" ht="15.75" customHeight="1">
      <c r="E301" s="29"/>
    </row>
    <row r="302" spans="5:5" ht="15.75" customHeight="1">
      <c r="E302" s="29"/>
    </row>
    <row r="303" spans="5:5" ht="15.75" customHeight="1">
      <c r="E303" s="29"/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5"/>
    </row>
    <row r="327" spans="5:5" ht="15.75" customHeight="1">
      <c r="E327" s="25"/>
    </row>
    <row r="328" spans="5:5" ht="15.75" customHeight="1">
      <c r="E328" s="25"/>
    </row>
    <row r="329" spans="5:5" ht="15.75" customHeight="1">
      <c r="E329" s="25"/>
    </row>
    <row r="330" spans="5:5" ht="15.75" customHeight="1">
      <c r="E330" s="25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1"/>
    </row>
    <row r="347" spans="5:5" ht="15.75" customHeight="1">
      <c r="E347" s="22"/>
    </row>
    <row r="348" spans="5:5" ht="15.75" customHeight="1">
      <c r="E348" s="22" t="s">
        <v>5</v>
      </c>
    </row>
    <row r="349" spans="5:5" ht="15.75" customHeight="1">
      <c r="E349" s="29"/>
    </row>
    <row r="350" spans="5:5" ht="15.75" customHeight="1">
      <c r="E350" s="29"/>
    </row>
    <row r="351" spans="5:5" ht="15.75" customHeight="1">
      <c r="E351" s="29"/>
    </row>
    <row r="352" spans="5:5" ht="15.75" customHeight="1">
      <c r="E352" s="29"/>
    </row>
    <row r="353" spans="5:5" ht="15.75" customHeight="1">
      <c r="E353" s="29"/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5"/>
    </row>
    <row r="377" spans="5:5" ht="15.75" customHeight="1">
      <c r="E377" s="25"/>
    </row>
    <row r="378" spans="5:5" ht="15.75" customHeight="1">
      <c r="E378" s="25"/>
    </row>
    <row r="379" spans="5:5" ht="15.75" customHeight="1">
      <c r="E379" s="25"/>
    </row>
    <row r="380" spans="5:5" ht="15.75" customHeight="1">
      <c r="E380" s="25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1"/>
    </row>
    <row r="397" spans="5:5" ht="15.75" customHeight="1">
      <c r="E397" s="22"/>
    </row>
    <row r="398" spans="5:5" ht="15.75" customHeight="1">
      <c r="E398" s="22" t="s">
        <v>5</v>
      </c>
    </row>
    <row r="399" spans="5:5" ht="15.75" customHeight="1">
      <c r="E399" s="29"/>
    </row>
    <row r="400" spans="5:5" ht="15.75" customHeight="1">
      <c r="E400" s="29"/>
    </row>
    <row r="401" spans="5:5" ht="15.75" customHeight="1">
      <c r="E401" s="29"/>
    </row>
    <row r="402" spans="5:5" ht="15.75" customHeight="1">
      <c r="E402" s="29"/>
    </row>
    <row r="403" spans="5:5" ht="15.75" customHeight="1">
      <c r="E403" s="29"/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5"/>
    </row>
    <row r="427" spans="5:5" ht="15.75" customHeight="1">
      <c r="E427" s="25"/>
    </row>
    <row r="428" spans="5:5" ht="15.75" customHeight="1">
      <c r="E428" s="25"/>
    </row>
    <row r="429" spans="5:5" ht="15.75" customHeight="1">
      <c r="E429" s="25"/>
    </row>
    <row r="430" spans="5:5" ht="15.75" customHeight="1">
      <c r="E430" s="25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1"/>
    </row>
    <row r="447" spans="5:5" ht="15.75" customHeight="1">
      <c r="E447" s="22"/>
    </row>
    <row r="448" spans="5:5" ht="15.75" customHeight="1">
      <c r="E448" s="22" t="s">
        <v>5</v>
      </c>
    </row>
    <row r="449" spans="5:5" ht="15.75" customHeight="1">
      <c r="E449" s="29"/>
    </row>
    <row r="450" spans="5:5" ht="15.75" customHeight="1">
      <c r="E450" s="29"/>
    </row>
    <row r="451" spans="5:5" ht="15.75" customHeight="1">
      <c r="E451" s="29"/>
    </row>
    <row r="452" spans="5:5" ht="15.75" customHeight="1">
      <c r="E452" s="29"/>
    </row>
    <row r="453" spans="5:5" ht="15.75" customHeight="1">
      <c r="E453" s="29"/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5"/>
    </row>
    <row r="477" spans="5:5" ht="15.75" customHeight="1">
      <c r="E477" s="25"/>
    </row>
    <row r="478" spans="5:5" ht="15.75" customHeight="1">
      <c r="E478" s="25"/>
    </row>
    <row r="479" spans="5:5" ht="15.75" customHeight="1">
      <c r="E479" s="25"/>
    </row>
    <row r="480" spans="5:5" ht="15.75" customHeight="1">
      <c r="E480" s="25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1"/>
    </row>
    <row r="497" spans="5:5" ht="15.75" customHeight="1">
      <c r="E497" s="22"/>
    </row>
    <row r="498" spans="5:5" ht="15.75" customHeight="1">
      <c r="E498" s="22" t="s">
        <v>5</v>
      </c>
    </row>
    <row r="499" spans="5:5" ht="15.75" customHeight="1">
      <c r="E499" s="29"/>
    </row>
    <row r="500" spans="5:5" ht="15.75" customHeight="1">
      <c r="E500" s="29"/>
    </row>
    <row r="501" spans="5:5" ht="15.75" customHeight="1">
      <c r="E501" s="29"/>
    </row>
    <row r="502" spans="5:5" ht="15.75" customHeight="1">
      <c r="E502" s="29"/>
    </row>
    <row r="503" spans="5:5" ht="15.75" customHeight="1">
      <c r="E503" s="29"/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5"/>
    </row>
    <row r="527" spans="5:5" ht="15.75" customHeight="1">
      <c r="E527" s="25"/>
    </row>
    <row r="528" spans="5:5" ht="15.75" customHeight="1">
      <c r="E528" s="25"/>
    </row>
    <row r="529" spans="5:5" ht="15.75" customHeight="1">
      <c r="E529" s="25"/>
    </row>
    <row r="530" spans="5:5" ht="15.75" customHeight="1">
      <c r="E530" s="25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1"/>
    </row>
    <row r="547" spans="5:5" ht="15.75" customHeight="1">
      <c r="E547" s="22"/>
    </row>
    <row r="548" spans="5:5" ht="15.75" customHeight="1">
      <c r="E548" s="22" t="s">
        <v>5</v>
      </c>
    </row>
    <row r="549" spans="5:5" ht="15.75" customHeight="1">
      <c r="E549" s="29"/>
    </row>
    <row r="550" spans="5:5" ht="15.75" customHeight="1">
      <c r="E550" s="29"/>
    </row>
    <row r="551" spans="5:5" ht="15.75" customHeight="1">
      <c r="E551" s="29"/>
    </row>
    <row r="552" spans="5:5" ht="15.75" customHeight="1">
      <c r="E552" s="29"/>
    </row>
    <row r="553" spans="5:5" ht="15.75" customHeight="1">
      <c r="E553" s="29"/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5"/>
    </row>
    <row r="577" spans="5:5" ht="15.75" customHeight="1">
      <c r="E577" s="25"/>
    </row>
    <row r="578" spans="5:5" ht="15.75" customHeight="1">
      <c r="E578" s="25"/>
    </row>
    <row r="579" spans="5:5" ht="15.75" customHeight="1">
      <c r="E579" s="25"/>
    </row>
    <row r="580" spans="5:5" ht="15.75" customHeight="1">
      <c r="E580" s="25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1"/>
    </row>
    <row r="597" spans="5:5" ht="15.75" customHeight="1">
      <c r="E597" s="22"/>
    </row>
    <row r="598" spans="5:5" ht="15.75" customHeight="1">
      <c r="E598" s="22" t="s">
        <v>5</v>
      </c>
    </row>
    <row r="599" spans="5:5" ht="15.75" customHeight="1">
      <c r="E599" s="29"/>
    </row>
    <row r="600" spans="5:5" ht="15.75" customHeight="1">
      <c r="E600" s="29"/>
    </row>
    <row r="601" spans="5:5" ht="15.75" customHeight="1">
      <c r="E601" s="29"/>
    </row>
    <row r="602" spans="5:5" ht="15.75" customHeight="1">
      <c r="E602" s="29"/>
    </row>
    <row r="603" spans="5:5" ht="15.75" customHeight="1">
      <c r="E603" s="29"/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5"/>
    </row>
    <row r="627" spans="5:5" ht="15.75" customHeight="1">
      <c r="E627" s="25"/>
    </row>
    <row r="628" spans="5:5" ht="15.75" customHeight="1">
      <c r="E628" s="25"/>
    </row>
    <row r="629" spans="5:5" ht="15.75" customHeight="1">
      <c r="E629" s="25"/>
    </row>
    <row r="630" spans="5:5" ht="15.75" customHeight="1">
      <c r="E630" s="25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1"/>
    </row>
    <row r="647" spans="5:5" ht="15.75" customHeight="1">
      <c r="E647" s="22"/>
    </row>
    <row r="648" spans="5:5" ht="15.75" customHeight="1">
      <c r="E648" s="22" t="s">
        <v>5</v>
      </c>
    </row>
    <row r="649" spans="5:5" ht="15.75" customHeight="1">
      <c r="E649" s="29"/>
    </row>
    <row r="650" spans="5:5" ht="15.75" customHeight="1">
      <c r="E650" s="29"/>
    </row>
    <row r="651" spans="5:5" ht="15.75" customHeight="1">
      <c r="E651" s="29"/>
    </row>
    <row r="652" spans="5:5" ht="15.75" customHeight="1">
      <c r="E652" s="29"/>
    </row>
    <row r="653" spans="5:5" ht="15.75" customHeight="1">
      <c r="E653" s="29"/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5"/>
    </row>
    <row r="677" spans="5:5" ht="15.75" customHeight="1">
      <c r="E677" s="25"/>
    </row>
    <row r="678" spans="5:5" ht="15.75" customHeight="1">
      <c r="E678" s="25"/>
    </row>
    <row r="679" spans="5:5" ht="15.75" customHeight="1">
      <c r="E679" s="25"/>
    </row>
    <row r="680" spans="5:5" ht="15.75" customHeight="1">
      <c r="E680" s="25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1"/>
    </row>
    <row r="697" spans="5:5" ht="15.75" customHeight="1">
      <c r="E697" s="22"/>
    </row>
    <row r="698" spans="5:5" ht="15.75" customHeight="1">
      <c r="E698" s="22" t="s">
        <v>5</v>
      </c>
    </row>
    <row r="699" spans="5:5" ht="15.75" customHeight="1">
      <c r="E699" s="29"/>
    </row>
    <row r="700" spans="5:5" ht="15.75" customHeight="1">
      <c r="E700" s="29"/>
    </row>
    <row r="701" spans="5:5" ht="15.75" customHeight="1">
      <c r="E701" s="29"/>
    </row>
    <row r="702" spans="5:5" ht="15.75" customHeight="1">
      <c r="E702" s="29"/>
    </row>
    <row r="703" spans="5:5" ht="15.75" customHeight="1">
      <c r="E703" s="29"/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5"/>
    </row>
    <row r="727" spans="5:5" ht="15.75" customHeight="1">
      <c r="E727" s="25"/>
    </row>
    <row r="728" spans="5:5" ht="15.75" customHeight="1">
      <c r="E728" s="25"/>
    </row>
    <row r="729" spans="5:5" ht="15.75" customHeight="1">
      <c r="E729" s="25"/>
    </row>
    <row r="730" spans="5:5" ht="15.75" customHeight="1">
      <c r="E730" s="25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1"/>
    </row>
    <row r="747" spans="5:5" ht="15.75" customHeight="1">
      <c r="E747" s="22"/>
    </row>
    <row r="748" spans="5:5" ht="15.75" customHeight="1">
      <c r="E748" s="22" t="s">
        <v>5</v>
      </c>
    </row>
    <row r="749" spans="5:5" ht="15.75" customHeight="1">
      <c r="E749" s="29"/>
    </row>
    <row r="750" spans="5:5" ht="15.75" customHeight="1">
      <c r="E750" s="29"/>
    </row>
    <row r="751" spans="5:5" ht="15.75" customHeight="1">
      <c r="E751" s="29"/>
    </row>
    <row r="752" spans="5:5" ht="15.75" customHeight="1">
      <c r="E752" s="29"/>
    </row>
    <row r="753" spans="5:5" ht="15.75" customHeight="1">
      <c r="E753" s="29"/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5"/>
    </row>
    <row r="777" spans="5:5" ht="15.75" customHeight="1">
      <c r="E777" s="25"/>
    </row>
    <row r="778" spans="5:5" ht="15.75" customHeight="1">
      <c r="E778" s="25"/>
    </row>
    <row r="779" spans="5:5" ht="15.75" customHeight="1">
      <c r="E779" s="25"/>
    </row>
    <row r="780" spans="5:5" ht="15.75" customHeight="1">
      <c r="E780" s="25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1"/>
    </row>
    <row r="797" spans="5:5" ht="15.75" customHeight="1">
      <c r="E797" s="22"/>
    </row>
    <row r="798" spans="5:5" ht="15.75" customHeight="1">
      <c r="E798" s="22" t="s">
        <v>5</v>
      </c>
    </row>
    <row r="799" spans="5:5" ht="15.75" customHeight="1">
      <c r="E799" s="29"/>
    </row>
    <row r="800" spans="5:5" ht="15.75" customHeight="1">
      <c r="E800" s="29"/>
    </row>
    <row r="801" spans="5:5" ht="15.75" customHeight="1">
      <c r="E801" s="29"/>
    </row>
    <row r="802" spans="5:5" ht="15.75" customHeight="1">
      <c r="E802" s="29"/>
    </row>
    <row r="803" spans="5:5" ht="15.75" customHeight="1">
      <c r="E803" s="29"/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5"/>
    </row>
    <row r="827" spans="5:5" ht="15.75" customHeight="1">
      <c r="E827" s="25"/>
    </row>
    <row r="828" spans="5:5" ht="15.75" customHeight="1">
      <c r="E828" s="25"/>
    </row>
    <row r="829" spans="5:5" ht="15.75" customHeight="1">
      <c r="E829" s="25"/>
    </row>
    <row r="830" spans="5:5" ht="15.75" customHeight="1">
      <c r="E830" s="25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1"/>
    </row>
    <row r="847" spans="5:5" ht="15.75" customHeight="1">
      <c r="E847" s="22"/>
    </row>
    <row r="848" spans="5:5" ht="15.75" customHeight="1">
      <c r="E848" s="22" t="s">
        <v>5</v>
      </c>
    </row>
    <row r="849" spans="5:5" ht="15.75" customHeight="1">
      <c r="E849" s="29"/>
    </row>
    <row r="850" spans="5:5" ht="15.75" customHeight="1">
      <c r="E850" s="29"/>
    </row>
    <row r="851" spans="5:5" ht="15.75" customHeight="1">
      <c r="E851" s="29"/>
    </row>
    <row r="852" spans="5:5" ht="15.75" customHeight="1">
      <c r="E852" s="29"/>
    </row>
    <row r="853" spans="5:5" ht="15.75" customHeight="1">
      <c r="E853" s="29"/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5"/>
    </row>
    <row r="877" spans="5:5" ht="15.75" customHeight="1">
      <c r="E877" s="25"/>
    </row>
    <row r="878" spans="5:5" ht="15.75" customHeight="1">
      <c r="E878" s="25"/>
    </row>
    <row r="879" spans="5:5" ht="15.75" customHeight="1">
      <c r="E879" s="25"/>
    </row>
    <row r="880" spans="5:5" ht="15.75" customHeight="1">
      <c r="E880" s="25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1"/>
    </row>
    <row r="897" spans="5:5" ht="15.75" customHeight="1">
      <c r="E897" s="22"/>
    </row>
    <row r="898" spans="5:5" ht="15.75" customHeight="1">
      <c r="E898" s="22" t="s">
        <v>5</v>
      </c>
    </row>
    <row r="899" spans="5:5" ht="15.75" customHeight="1">
      <c r="E899" s="29"/>
    </row>
    <row r="900" spans="5:5" ht="15.75" customHeight="1">
      <c r="E900" s="29"/>
    </row>
    <row r="901" spans="5:5" ht="15.75" customHeight="1">
      <c r="E901" s="29"/>
    </row>
    <row r="902" spans="5:5" ht="15.75" customHeight="1">
      <c r="E902" s="29"/>
    </row>
    <row r="903" spans="5:5" ht="15.75" customHeight="1">
      <c r="E903" s="29"/>
    </row>
    <row r="904" spans="5:5" ht="15.75" customHeight="1">
      <c r="E904" s="29"/>
    </row>
    <row r="905" spans="5:5" ht="15.75" customHeight="1">
      <c r="E905" s="29"/>
    </row>
    <row r="906" spans="5:5" ht="15.75" customHeight="1">
      <c r="E906" s="29"/>
    </row>
    <row r="907" spans="5:5" ht="15.75" customHeight="1">
      <c r="E907" s="29"/>
    </row>
    <row r="908" spans="5:5" ht="15.75" customHeight="1">
      <c r="E908" s="29"/>
    </row>
    <row r="909" spans="5:5" ht="15.75" customHeight="1">
      <c r="E909" s="29"/>
    </row>
    <row r="910" spans="5:5" ht="15.75" customHeight="1">
      <c r="E910" s="29"/>
    </row>
    <row r="911" spans="5:5" ht="15.75" customHeight="1">
      <c r="E911" s="29"/>
    </row>
    <row r="912" spans="5:5" ht="15.75" customHeight="1">
      <c r="E912" s="29"/>
    </row>
    <row r="913" spans="5:5" ht="15.75" customHeight="1">
      <c r="E913" s="29"/>
    </row>
    <row r="914" spans="5:5" ht="15.75" customHeight="1">
      <c r="E914" s="29"/>
    </row>
    <row r="915" spans="5:5" ht="15.75" customHeight="1">
      <c r="E915" s="29"/>
    </row>
    <row r="916" spans="5:5" ht="15.75" customHeight="1">
      <c r="E916" s="29"/>
    </row>
    <row r="917" spans="5:5" ht="15.75" customHeight="1">
      <c r="E917" s="29"/>
    </row>
    <row r="918" spans="5:5" ht="15.75" customHeight="1">
      <c r="E918" s="29"/>
    </row>
    <row r="919" spans="5:5" ht="15.75" customHeight="1">
      <c r="E919" s="29"/>
    </row>
    <row r="920" spans="5:5" ht="15.75" customHeight="1">
      <c r="E920" s="29"/>
    </row>
    <row r="921" spans="5:5" ht="15.75" customHeight="1">
      <c r="E921" s="29"/>
    </row>
    <row r="922" spans="5:5" ht="15.75" customHeight="1">
      <c r="E922" s="29"/>
    </row>
    <row r="923" spans="5:5" ht="15.75" customHeight="1">
      <c r="E923" s="29"/>
    </row>
    <row r="924" spans="5:5" ht="15.75" customHeight="1">
      <c r="E924" s="29"/>
    </row>
    <row r="925" spans="5:5" ht="15.75" customHeight="1">
      <c r="E925" s="29"/>
    </row>
    <row r="926" spans="5:5" ht="15.75" customHeight="1">
      <c r="E926" s="25"/>
    </row>
    <row r="927" spans="5:5" ht="15.75" customHeight="1">
      <c r="E927" s="25"/>
    </row>
    <row r="928" spans="5:5" ht="15.75" customHeight="1">
      <c r="E928" s="25"/>
    </row>
    <row r="929" spans="5:5" ht="15.75" customHeight="1">
      <c r="E929" s="25"/>
    </row>
    <row r="930" spans="5:5" ht="15.75" customHeight="1">
      <c r="E930" s="25"/>
    </row>
    <row r="931" spans="5:5" ht="15.75" customHeight="1">
      <c r="E931" s="25"/>
    </row>
    <row r="932" spans="5:5" ht="15.75" customHeight="1">
      <c r="E932" s="25"/>
    </row>
    <row r="933" spans="5:5" ht="15.75" customHeight="1">
      <c r="E933" s="25"/>
    </row>
    <row r="934" spans="5:5" ht="15.75" customHeight="1">
      <c r="E934" s="25"/>
    </row>
    <row r="935" spans="5:5" ht="15.75" customHeight="1">
      <c r="E935" s="25"/>
    </row>
    <row r="936" spans="5:5" ht="15.75" customHeight="1">
      <c r="E936" s="25"/>
    </row>
    <row r="937" spans="5:5" ht="15.75" customHeight="1">
      <c r="E937" s="25"/>
    </row>
    <row r="938" spans="5:5" ht="15.75" customHeight="1">
      <c r="E938" s="25"/>
    </row>
    <row r="939" spans="5:5" ht="15.75" customHeight="1">
      <c r="E939" s="25"/>
    </row>
    <row r="940" spans="5:5" ht="15.75" customHeight="1">
      <c r="E940" s="25"/>
    </row>
    <row r="941" spans="5:5" ht="15.75" customHeight="1">
      <c r="E941" s="25"/>
    </row>
    <row r="942" spans="5:5" ht="15.75" customHeight="1">
      <c r="E942" s="25"/>
    </row>
    <row r="943" spans="5:5" ht="15.75" customHeight="1">
      <c r="E943" s="25"/>
    </row>
    <row r="944" spans="5:5" ht="15.75" customHeight="1">
      <c r="E944" s="25"/>
    </row>
    <row r="945" spans="5:5" ht="15.75" customHeight="1">
      <c r="E945" s="25"/>
    </row>
    <row r="946" spans="5:5" ht="15.75" customHeight="1"/>
    <row r="947" spans="5:5" ht="15.75" customHeight="1"/>
    <row r="948" spans="5:5" ht="15.75" customHeight="1"/>
    <row r="949" spans="5:5" ht="15.75" customHeight="1"/>
    <row r="950" spans="5:5" ht="15.75" customHeight="1"/>
    <row r="951" spans="5:5" ht="15.75" customHeight="1"/>
    <row r="952" spans="5:5" ht="15.75" customHeight="1"/>
    <row r="953" spans="5:5" ht="15.75" customHeight="1"/>
    <row r="954" spans="5:5" ht="15.75" customHeight="1"/>
    <row r="955" spans="5:5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códigos!$E:$E</xm:f>
          </x14:formula1>
          <xm:sqref>E4:E25 E49:E75 E99:E125 E149:E175 E199:E225 E249:E275 E299:E325 E349:E375 E399:E425 E449:E475 E499:E525 E549:E575 E599:E625 E649:E675 E699:E725 E749:E775 E799:E825 E849:E875 E899:E925</xm:sqref>
        </x14:dataValidation>
        <x14:dataValidation type="list" allowBlank="1" showErrorMessage="1" xr:uid="{00000000-0002-0000-0100-000001000000}">
          <x14:formula1>
            <xm:f>códigos!$B:$B</xm:f>
          </x14:formula1>
          <xm:sqref>C4:C25</xm:sqref>
        </x14:dataValidation>
        <x14:dataValidation type="list" allowBlank="1" showErrorMessage="1" xr:uid="{00000000-0002-0000-0100-000003000000}">
          <x14:formula1>
            <xm:f>códigos!$O:$O</xm:f>
          </x14:formula1>
          <xm:sqref>G4:G25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5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4.5" customWidth="1"/>
    <col min="2" max="2" width="26" customWidth="1"/>
    <col min="3" max="3" width="20.5" customWidth="1"/>
    <col min="4" max="4" width="16.5" customWidth="1"/>
    <col min="5" max="5" width="45.33203125" customWidth="1"/>
    <col min="6" max="6" width="33" customWidth="1"/>
    <col min="7" max="7" width="21.5" customWidth="1"/>
    <col min="8" max="8" width="11.5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47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2</v>
      </c>
      <c r="B4" s="26" t="str">
        <f ca="1">IF($E4="","",VLOOKUP(D4,códigos!$F:$G,2,FALSE))</f>
        <v>Maika Blázquez</v>
      </c>
      <c r="C4" s="27" t="s">
        <v>37</v>
      </c>
      <c r="D4" s="28" t="str">
        <f ca="1">IF(E4="","",VLOOKUP($E4,códigos!$E:$F,2,FALSE))</f>
        <v>MBM61</v>
      </c>
      <c r="E4" s="29" t="s">
        <v>60</v>
      </c>
      <c r="F4" s="29" t="s">
        <v>49</v>
      </c>
      <c r="G4" s="29" t="s">
        <v>28</v>
      </c>
      <c r="H4" s="31">
        <v>46062</v>
      </c>
      <c r="I4" s="31">
        <v>46056</v>
      </c>
      <c r="J4" s="29">
        <v>-2772.25</v>
      </c>
      <c r="K4" s="26" t="str">
        <f>IF($C4="","",VLOOKUP(C4,códigos!$B:$C,2,FALSE))</f>
        <v>AUDICOST LEGANES</v>
      </c>
      <c r="L4" s="27"/>
      <c r="M4" s="46"/>
      <c r="N4" s="7" t="str">
        <f t="array" aca="1" ref="N4" ca="1">INDEX(códigos!E:E,MATCH(D4,códigos!F:F,0))</f>
        <v>Julie Múñoz Freitez</v>
      </c>
    </row>
    <row r="5" spans="1:30" ht="15.75" customHeight="1">
      <c r="A5" s="25">
        <v>2</v>
      </c>
      <c r="B5" s="26" t="str">
        <f ca="1">IF($E5="","",VLOOKUP(D5,códigos!$F:$G,2,FALSE))</f>
        <v>Maika Blázquez</v>
      </c>
      <c r="C5" s="27" t="s">
        <v>25</v>
      </c>
      <c r="D5" s="28" t="str">
        <f ca="1">IF(E5="","",VLOOKUP($E5,códigos!$E:$F,2,FALSE))</f>
        <v>MBM147</v>
      </c>
      <c r="E5" s="29" t="s">
        <v>61</v>
      </c>
      <c r="F5" s="29" t="s">
        <v>49</v>
      </c>
      <c r="G5" s="29" t="s">
        <v>28</v>
      </c>
      <c r="H5" s="31">
        <v>46064</v>
      </c>
      <c r="I5" s="31">
        <v>46056</v>
      </c>
      <c r="J5" s="29">
        <v>-443.56</v>
      </c>
      <c r="K5" s="26" t="str">
        <f>IF($C5="","",VLOOKUP(C5,códigos!$B:$C,2,FALSE))</f>
        <v>AUDIBRADA</v>
      </c>
      <c r="L5" s="27"/>
      <c r="M5" s="33"/>
      <c r="N5" s="34" t="str">
        <f t="array" aca="1" ref="N5" ca="1">INDEX(códigos!E:E,MATCH(D5,códigos!F:F,0))</f>
        <v>María Estefanía Hernández García</v>
      </c>
    </row>
    <row r="6" spans="1:30" ht="15.75" customHeight="1">
      <c r="A6" s="25">
        <v>2</v>
      </c>
      <c r="B6" s="26" t="str">
        <f ca="1">IF($E6="","",VLOOKUP(D6,códigos!$F:$G,2,FALSE))</f>
        <v>Ramon Ferrando</v>
      </c>
      <c r="C6" s="27" t="s">
        <v>62</v>
      </c>
      <c r="D6" s="28" t="str">
        <f ca="1">IF(E6="","",VLOOKUP($E6,códigos!$E:$F,2,FALSE))</f>
        <v>RFV15</v>
      </c>
      <c r="E6" s="29" t="s">
        <v>63</v>
      </c>
      <c r="F6" s="29" t="s">
        <v>64</v>
      </c>
      <c r="G6" s="29" t="s">
        <v>33</v>
      </c>
      <c r="H6" s="31"/>
      <c r="I6" s="31">
        <v>46055</v>
      </c>
      <c r="J6" s="29">
        <v>-899</v>
      </c>
      <c r="K6" s="26" t="str">
        <f>IF($C6="","",VLOOKUP(C6,códigos!$B:$C,2,FALSE))</f>
        <v>AUDICOST, S.L.U</v>
      </c>
      <c r="L6" s="27"/>
      <c r="M6" s="48"/>
      <c r="N6" s="34" t="str">
        <f t="array" aca="1" ref="N6" ca="1">INDEX(códigos!E:E,MATCH(D6,códigos!F:F,0))</f>
        <v>Jean Franco Intraprendente Martini</v>
      </c>
    </row>
    <row r="7" spans="1:30" ht="15.75" customHeight="1">
      <c r="A7" s="25">
        <v>2</v>
      </c>
      <c r="B7" s="26" t="str">
        <f ca="1">IF($E7="","",VLOOKUP(D7,códigos!$F:$G,2,FALSE))</f>
        <v>Iván Sánchez</v>
      </c>
      <c r="C7" s="27" t="s">
        <v>54</v>
      </c>
      <c r="D7" s="28" t="str">
        <f ca="1">IF(E7="","",VLOOKUP($E7,códigos!$E:$F,2,FALSE))</f>
        <v>ISL54</v>
      </c>
      <c r="E7" s="29" t="s">
        <v>65</v>
      </c>
      <c r="F7" s="25" t="s">
        <v>66</v>
      </c>
      <c r="G7" s="29" t="s">
        <v>67</v>
      </c>
      <c r="H7" s="30">
        <v>46059</v>
      </c>
      <c r="I7" s="31">
        <v>46059</v>
      </c>
      <c r="J7" s="29">
        <v>-4000</v>
      </c>
      <c r="K7" s="26" t="str">
        <f>IF($C7="","",VLOOKUP(C7,códigos!$B:$C,2,FALSE))</f>
        <v>AUDICANTE</v>
      </c>
      <c r="M7" s="32"/>
      <c r="N7" s="34" t="str">
        <f t="array" aca="1" ref="N7" ca="1">INDEX(códigos!E:E,MATCH(D7,códigos!F:F,0))</f>
        <v>José María Laborda Margolles</v>
      </c>
      <c r="P7" s="18" t="s">
        <v>68</v>
      </c>
    </row>
    <row r="8" spans="1:30" ht="15.75" customHeight="1">
      <c r="A8" s="25">
        <v>2</v>
      </c>
      <c r="B8" s="26" t="str">
        <f ca="1">IF($E8="","",VLOOKUP(D8,códigos!$F:$G,2,FALSE))</f>
        <v>Lisandro Russian</v>
      </c>
      <c r="C8" s="27" t="s">
        <v>50</v>
      </c>
      <c r="D8" s="28" t="str">
        <f ca="1">IF(E8="","",VLOOKUP($E8,códigos!$E:$F,2,FALSE))</f>
        <v>LRM264</v>
      </c>
      <c r="E8" s="29" t="s">
        <v>69</v>
      </c>
      <c r="F8" s="29" t="s">
        <v>70</v>
      </c>
      <c r="G8" s="29" t="s">
        <v>33</v>
      </c>
      <c r="H8" s="31"/>
      <c r="I8" s="31">
        <v>46049</v>
      </c>
      <c r="J8" s="29">
        <v>-626.99</v>
      </c>
      <c r="K8" s="26" t="str">
        <f>IF($C8="","",VLOOKUP(C8,códigos!$B:$C,2,FALSE))</f>
        <v>AUDICOST LOGROÑO </v>
      </c>
      <c r="L8" s="27"/>
      <c r="M8" s="33"/>
      <c r="N8" s="34" t="str">
        <f t="array" aca="1" ref="N8" ca="1">INDEX(códigos!E:E,MATCH(D8,códigos!F:F,0))</f>
        <v>Carmen Delgado Muñoz</v>
      </c>
    </row>
    <row r="9" spans="1:30" ht="15.75" customHeight="1">
      <c r="A9" s="25">
        <v>1</v>
      </c>
      <c r="B9" s="26" t="str">
        <f ca="1">IF($E9="","",VLOOKUP(D9,códigos!$F:$G,2,FALSE))</f>
        <v>Lisandro Russian</v>
      </c>
      <c r="C9" s="27" t="s">
        <v>71</v>
      </c>
      <c r="D9" s="28" t="str">
        <f ca="1">IF(E9="","",VLOOKUP($E9,códigos!$E:$F,2,FALSE))</f>
        <v>LRM82</v>
      </c>
      <c r="E9" s="29" t="s">
        <v>72</v>
      </c>
      <c r="F9" s="29" t="s">
        <v>73</v>
      </c>
      <c r="G9" s="29" t="s">
        <v>28</v>
      </c>
      <c r="H9" s="30">
        <v>46062</v>
      </c>
      <c r="I9" s="31">
        <v>46036</v>
      </c>
      <c r="J9" s="29">
        <v>-310.5</v>
      </c>
      <c r="K9" s="26" t="str">
        <f>IF($C9="","",VLOOKUP(C9,códigos!$B:$C,2,FALSE))</f>
        <v>CLINICA DOS DE MAYO </v>
      </c>
      <c r="L9" s="27"/>
      <c r="M9" s="33"/>
      <c r="N9" s="7" t="str">
        <f t="array" aca="1" ref="N9" ca="1">INDEX(códigos!E:E,MATCH(D9,códigos!F:F,0))</f>
        <v>José Miguel Aparicio Fernández</v>
      </c>
    </row>
    <row r="10" spans="1:30" ht="15.75" customHeight="1">
      <c r="A10" s="25">
        <v>2</v>
      </c>
      <c r="B10" s="26" t="str">
        <f ca="1">IF($E10="","",VLOOKUP(D10,códigos!$F:$G,2,FALSE))</f>
        <v>Ramon Ferrando</v>
      </c>
      <c r="C10" s="27" t="s">
        <v>54</v>
      </c>
      <c r="D10" s="28" t="str">
        <f ca="1">IF(E10="","",VLOOKUP($E10,códigos!$E:$F,2,FALSE))</f>
        <v>ISL104</v>
      </c>
      <c r="E10" s="29" t="s">
        <v>74</v>
      </c>
      <c r="F10" s="29" t="s">
        <v>75</v>
      </c>
      <c r="G10" s="29" t="s">
        <v>76</v>
      </c>
      <c r="H10" s="31">
        <v>46063</v>
      </c>
      <c r="I10" s="31">
        <v>46062</v>
      </c>
      <c r="J10" s="29">
        <v>-84.52</v>
      </c>
      <c r="K10" s="26" t="str">
        <f>IF($C10="","",VLOOKUP(C10,códigos!$B:$C,2,FALSE))</f>
        <v>AUDICANTE</v>
      </c>
      <c r="L10" s="27"/>
      <c r="M10" s="35"/>
      <c r="N10" s="34" t="str">
        <f t="array" aca="1" ref="N10" ca="1">INDEX(códigos!E:E,MATCH(D10,códigos!F:F,0))</f>
        <v>Isabel Polo Tomás</v>
      </c>
    </row>
    <row r="11" spans="1:30" ht="15.75" customHeight="1">
      <c r="A11" s="25">
        <v>2</v>
      </c>
      <c r="B11" s="26" t="str">
        <f ca="1">IF($E11="","",VLOOKUP(D11,códigos!$F:$G,2,FALSE))</f>
        <v>Maika Blázquez</v>
      </c>
      <c r="C11" s="27" t="s">
        <v>21</v>
      </c>
      <c r="D11" s="28" t="str">
        <f ca="1">IF(E11="","",VLOOKUP($E11,códigos!$E:$F,2,FALSE))</f>
        <v>MBM26</v>
      </c>
      <c r="E11" s="29" t="s">
        <v>77</v>
      </c>
      <c r="F11" s="29" t="s">
        <v>49</v>
      </c>
      <c r="G11" s="29" t="s">
        <v>28</v>
      </c>
      <c r="H11" s="30"/>
      <c r="I11" s="31">
        <v>46062</v>
      </c>
      <c r="J11" s="29">
        <f>-1219.8/2</f>
        <v>-609.9</v>
      </c>
      <c r="K11" s="26" t="str">
        <f>IF($C11="","",VLOOKUP(C11,códigos!$B:$C,2,FALSE))</f>
        <v>AUDIBRADA</v>
      </c>
      <c r="L11" s="27"/>
      <c r="M11" s="33"/>
      <c r="N11" s="34" t="str">
        <f t="array" aca="1" ref="N11" ca="1">INDEX(códigos!E:E,MATCH(D11,códigos!F:F,0))</f>
        <v>Gerardo Monedero Rodrigo</v>
      </c>
    </row>
    <row r="12" spans="1:30" ht="15.75" customHeight="1">
      <c r="A12" s="25">
        <v>2</v>
      </c>
      <c r="B12" s="26" t="str">
        <f ca="1">IF($E12="","",VLOOKUP(D12,códigos!$F:$G,2,FALSE))</f>
        <v>Maika Blázquez</v>
      </c>
      <c r="C12" s="27" t="s">
        <v>21</v>
      </c>
      <c r="D12" s="28" t="str">
        <f ca="1">IF(E12="","",VLOOKUP($E12,códigos!$E:$F,2,FALSE))</f>
        <v>MBM96</v>
      </c>
      <c r="E12" s="29" t="s">
        <v>78</v>
      </c>
      <c r="F12" s="29" t="s">
        <v>49</v>
      </c>
      <c r="G12" s="29" t="s">
        <v>28</v>
      </c>
      <c r="H12" s="31"/>
      <c r="I12" s="31">
        <v>46062</v>
      </c>
      <c r="J12" s="29">
        <f>J11</f>
        <v>-609.9</v>
      </c>
      <c r="K12" s="26" t="str">
        <f>IF($C12="","",VLOOKUP(C12,códigos!$B:$C,2,FALSE))</f>
        <v>AUDIBRADA</v>
      </c>
      <c r="L12" s="27"/>
      <c r="M12" s="36"/>
      <c r="N12" s="34" t="str">
        <f t="array" aca="1" ref="N12" ca="1">INDEX(códigos!E:E,MATCH(D12,códigos!F:F,0))</f>
        <v>Beatriz Santos Duque</v>
      </c>
    </row>
    <row r="13" spans="1:30" ht="15.75" customHeight="1">
      <c r="A13" s="25">
        <v>2</v>
      </c>
      <c r="B13" s="26" t="str">
        <f ca="1">IF($E13="","",VLOOKUP(D13,códigos!$F:$G,2,FALSE))</f>
        <v>Luis Alberto Rodríguez</v>
      </c>
      <c r="C13" s="27" t="s">
        <v>34</v>
      </c>
      <c r="D13" s="28" t="str">
        <f ca="1">IF(E13="","",VLOOKUP($E13,códigos!$E:$F,2,FALSE))</f>
        <v>LAA37</v>
      </c>
      <c r="E13" s="29" t="s">
        <v>79</v>
      </c>
      <c r="F13" s="29" t="s">
        <v>80</v>
      </c>
      <c r="G13" s="29" t="s">
        <v>24</v>
      </c>
      <c r="H13" s="30"/>
      <c r="I13" s="31">
        <v>46062</v>
      </c>
      <c r="J13" s="29">
        <v>-980.85</v>
      </c>
      <c r="K13" s="26" t="str">
        <f>IF($C13="","",VLOOKUP(C13,códigos!$B:$C,2,FALSE))</f>
        <v>OIR VITAL CENTROS AUDITIVOS </v>
      </c>
      <c r="L13" s="27"/>
      <c r="M13" s="36"/>
      <c r="N13" s="34" t="str">
        <f t="array" aca="1" ref="N13" ca="1">INDEX(códigos!E:E,MATCH(D13,códigos!F:F,0))</f>
        <v>Miguel Rodriguez Pérez</v>
      </c>
    </row>
    <row r="14" spans="1:30" ht="15.75" customHeight="1">
      <c r="A14" s="25">
        <v>2</v>
      </c>
      <c r="B14" s="26" t="str">
        <f ca="1">IF($E14="","",VLOOKUP(D14,códigos!$F:$G,2,FALSE))</f>
        <v>Ramon Ferrando</v>
      </c>
      <c r="C14" s="27" t="s">
        <v>54</v>
      </c>
      <c r="D14" s="28" t="str">
        <f ca="1">IF(E14="","",VLOOKUP($E14,códigos!$E:$F,2,FALSE))</f>
        <v>ISL104</v>
      </c>
      <c r="E14" s="29" t="s">
        <v>74</v>
      </c>
      <c r="F14" s="29" t="s">
        <v>81</v>
      </c>
      <c r="G14" s="29" t="s">
        <v>76</v>
      </c>
      <c r="H14" s="30"/>
      <c r="I14" s="31">
        <v>46035</v>
      </c>
      <c r="J14" s="29">
        <v>-68.75</v>
      </c>
      <c r="K14" s="26" t="str">
        <f>IF($C14="","",VLOOKUP(C14,códigos!$B:$C,2,FALSE))</f>
        <v>AUDICANTE</v>
      </c>
      <c r="L14" s="27"/>
      <c r="M14" s="32"/>
      <c r="N14" s="34" t="str">
        <f t="array" aca="1" ref="N14" ca="1">INDEX(códigos!E:E,MATCH(D14,códigos!F:F,0))</f>
        <v>Isabel Polo Tomás</v>
      </c>
    </row>
    <row r="15" spans="1:30" ht="15.75" customHeight="1">
      <c r="A15" s="25">
        <v>2</v>
      </c>
      <c r="B15" s="26" t="str">
        <f ca="1">IF($E15="","",VLOOKUP(D15,códigos!$F:$G,2,FALSE))</f>
        <v>Ramon Ferrando</v>
      </c>
      <c r="C15" s="27" t="s">
        <v>54</v>
      </c>
      <c r="D15" s="28" t="str">
        <f ca="1">IF(E15="","",VLOOKUP($E15,códigos!$E:$F,2,FALSE))</f>
        <v>ISL104</v>
      </c>
      <c r="E15" s="29" t="s">
        <v>74</v>
      </c>
      <c r="F15" s="29" t="s">
        <v>81</v>
      </c>
      <c r="G15" s="29" t="s">
        <v>76</v>
      </c>
      <c r="H15" s="30"/>
      <c r="I15" s="31">
        <v>46035</v>
      </c>
      <c r="J15" s="29">
        <v>-630.47</v>
      </c>
      <c r="K15" s="26" t="str">
        <f>IF($C15="","",VLOOKUP(C15,códigos!$B:$C,2,FALSE))</f>
        <v>AUDICANTE</v>
      </c>
      <c r="L15" s="27"/>
      <c r="M15" s="32"/>
      <c r="N15" s="34" t="str">
        <f t="array" aca="1" ref="N15" ca="1">INDEX(códigos!E:E,MATCH(D15,códigos!F:F,0))</f>
        <v>Isabel Polo Tomás</v>
      </c>
    </row>
    <row r="16" spans="1:30" ht="15.75" customHeight="1">
      <c r="A16" s="25">
        <v>2</v>
      </c>
      <c r="B16" s="26" t="str">
        <f ca="1">IF($E16="","",VLOOKUP(D16,códigos!$F:$G,2,FALSE))</f>
        <v>Maika Blázquez</v>
      </c>
      <c r="C16" s="27" t="s">
        <v>40</v>
      </c>
      <c r="D16" s="28" t="str">
        <f ca="1">IF(E16="","",VLOOKUP($E16,códigos!$E:$F,2,FALSE))</f>
        <v>MBM69</v>
      </c>
      <c r="E16" s="29" t="s">
        <v>82</v>
      </c>
      <c r="F16" s="29" t="s">
        <v>83</v>
      </c>
      <c r="G16" s="29" t="s">
        <v>33</v>
      </c>
      <c r="H16" s="37"/>
      <c r="I16" s="42">
        <v>46065</v>
      </c>
      <c r="J16" s="37">
        <v>-3353.99</v>
      </c>
      <c r="K16" s="26" t="str">
        <f>IF($C16="","",VLOOKUP(C16,códigos!$B:$C,2,FALSE))</f>
        <v>SIEMA BLINK, S.L</v>
      </c>
      <c r="L16" s="27"/>
      <c r="M16" s="33"/>
      <c r="N16" s="34" t="str">
        <f t="array" aca="1" ref="N16" ca="1">INDEX(códigos!E:E,MATCH(D16,códigos!F:F,0))</f>
        <v>Oscar A, Sánchez Valenzuela</v>
      </c>
    </row>
    <row r="17" spans="1:30" ht="15.75" customHeight="1">
      <c r="A17" s="25">
        <v>2</v>
      </c>
      <c r="B17" s="26" t="str">
        <f ca="1">IF($E17="","",VLOOKUP(D17,códigos!$F:$G,2,FALSE))</f>
        <v>Maika Blázquez</v>
      </c>
      <c r="C17" s="27" t="s">
        <v>30</v>
      </c>
      <c r="D17" s="28" t="str">
        <f ca="1">IF(E17="","",VLOOKUP($E17,códigos!$E:$F,2,FALSE))</f>
        <v>MBM50</v>
      </c>
      <c r="E17" s="29" t="s">
        <v>31</v>
      </c>
      <c r="F17" s="29" t="s">
        <v>84</v>
      </c>
      <c r="G17" s="29" t="s">
        <v>20</v>
      </c>
      <c r="H17" s="42">
        <v>46065</v>
      </c>
      <c r="I17" s="42">
        <v>46065</v>
      </c>
      <c r="J17" s="37">
        <v>5025</v>
      </c>
      <c r="K17" s="26" t="str">
        <f>IF($C17="","",VLOOKUP(C17,códigos!$B:$C,2,FALSE))</f>
        <v>AUDICOST, S.L.U</v>
      </c>
      <c r="L17" s="27"/>
      <c r="M17" s="33"/>
      <c r="N17" s="34" t="str">
        <f t="array" aca="1" ref="N17" ca="1">INDEX(códigos!E:E,MATCH(D17,códigos!F:F,0))</f>
        <v>José Gustavo Barroso Braojos</v>
      </c>
    </row>
    <row r="18" spans="1:30" ht="15.75" customHeight="1">
      <c r="A18" s="25">
        <v>2</v>
      </c>
      <c r="B18" s="26" t="str">
        <f ca="1">IF($E18="","",VLOOKUP(D18,códigos!$F:$G,2,FALSE))</f>
        <v>Maika Blázquez</v>
      </c>
      <c r="C18" s="27" t="s">
        <v>25</v>
      </c>
      <c r="D18" s="28" t="str">
        <f ca="1">IF(E18="","",VLOOKUP($E18,códigos!$E:$F,2,FALSE))</f>
        <v>MBM228</v>
      </c>
      <c r="E18" s="29" t="s">
        <v>85</v>
      </c>
      <c r="F18" s="29" t="s">
        <v>49</v>
      </c>
      <c r="G18" s="29" t="s">
        <v>28</v>
      </c>
      <c r="H18" s="30"/>
      <c r="I18" s="31">
        <v>46066</v>
      </c>
      <c r="J18" s="29">
        <v>-1000</v>
      </c>
      <c r="K18" s="26" t="str">
        <f>IF($C18="","",VLOOKUP(C18,códigos!$B:$C,2,FALSE))</f>
        <v>AUDIBRADA</v>
      </c>
      <c r="L18" s="27"/>
      <c r="M18" s="44"/>
      <c r="N18" s="34" t="str">
        <f t="array" aca="1" ref="N18" ca="1">INDEX(códigos!E:E,MATCH(D18,códigos!F:F,0))</f>
        <v>Daniel Rodríguez Ocaña</v>
      </c>
    </row>
    <row r="19" spans="1:30" ht="15.75" customHeight="1">
      <c r="A19" s="25">
        <v>2</v>
      </c>
      <c r="B19" s="26" t="str">
        <f ca="1">IF($E19="","",VLOOKUP(D19,códigos!$F:$G,2,FALSE))</f>
        <v>Maika Blázquez</v>
      </c>
      <c r="C19" s="27" t="s">
        <v>47</v>
      </c>
      <c r="D19" s="28" t="str">
        <f ca="1">IF(E19="","",VLOOKUP($E19,códigos!$E:$F,2,FALSE))</f>
        <v>MBM229</v>
      </c>
      <c r="E19" s="29" t="s">
        <v>86</v>
      </c>
      <c r="F19" s="29" t="s">
        <v>49</v>
      </c>
      <c r="G19" s="29" t="s">
        <v>28</v>
      </c>
      <c r="H19" s="42"/>
      <c r="I19" s="42">
        <v>46071</v>
      </c>
      <c r="J19" s="37">
        <v>-900</v>
      </c>
      <c r="K19" s="26" t="str">
        <f>IF($C19="","",VLOOKUP(C19,códigos!$B:$C,2,FALSE))</f>
        <v>AUDICOST, S.L.U</v>
      </c>
      <c r="L19" s="37"/>
      <c r="M19" s="45"/>
      <c r="N19" s="34" t="str">
        <f t="array" aca="1" ref="N19" ca="1">INDEX(códigos!E:E,MATCH(D19,códigos!F:F,0))</f>
        <v>Raquel de Lama Bermejo</v>
      </c>
    </row>
    <row r="20" spans="1:30" ht="15.75" customHeight="1">
      <c r="A20" s="25">
        <v>2</v>
      </c>
      <c r="B20" s="26" t="str">
        <f ca="1">IF($E20="","",VLOOKUP(D20,códigos!$F:$G,2,FALSE))</f>
        <v>Ramon Ferrando</v>
      </c>
      <c r="C20" s="27" t="s">
        <v>54</v>
      </c>
      <c r="D20" s="28" t="str">
        <f ca="1">IF(E20="","",VLOOKUP($E20,códigos!$E:$F,2,FALSE))</f>
        <v>ISL104</v>
      </c>
      <c r="E20" s="29" t="s">
        <v>74</v>
      </c>
      <c r="F20" s="25" t="s">
        <v>87</v>
      </c>
      <c r="G20" s="29" t="s">
        <v>53</v>
      </c>
      <c r="H20" s="30">
        <v>46078</v>
      </c>
      <c r="I20" s="31">
        <v>46073</v>
      </c>
      <c r="J20" s="29">
        <v>-4957.1000000000004</v>
      </c>
      <c r="K20" s="26" t="str">
        <f>IF($C20="","",VLOOKUP(C20,códigos!$B:$C,2,FALSE))</f>
        <v>AUDICANTE</v>
      </c>
      <c r="M20" s="36"/>
      <c r="N20" s="34" t="str">
        <f t="array" aca="1" ref="N20" ca="1">INDEX(códigos!E:E,MATCH(D20,códigos!F:F,0))</f>
        <v>Isabel Polo Tomás</v>
      </c>
    </row>
    <row r="21" spans="1:30" ht="15.75" customHeight="1">
      <c r="A21" s="25">
        <v>2</v>
      </c>
      <c r="B21" s="26" t="str">
        <f ca="1">IF($E21="","",VLOOKUP(D21,códigos!$F:$G,2,FALSE))</f>
        <v>Maika Blázquez</v>
      </c>
      <c r="C21" s="27" t="s">
        <v>21</v>
      </c>
      <c r="D21" s="28" t="str">
        <f ca="1">IF(E21="","",VLOOKUP($E21,códigos!$E:$F,2,FALSE))</f>
        <v>MBM230</v>
      </c>
      <c r="E21" s="29" t="s">
        <v>88</v>
      </c>
      <c r="F21" s="29" t="s">
        <v>49</v>
      </c>
      <c r="G21" s="29" t="s">
        <v>28</v>
      </c>
      <c r="H21" s="29"/>
      <c r="I21" s="31">
        <v>46078</v>
      </c>
      <c r="J21" s="29">
        <v>-600</v>
      </c>
      <c r="K21" s="26" t="str">
        <f>IF($C21="","",VLOOKUP(C21,códigos!$B:$C,2,FALSE))</f>
        <v>AUDIBRADA</v>
      </c>
      <c r="L21" s="27"/>
      <c r="M21" s="46"/>
      <c r="N21" s="34" t="str">
        <f t="array" aca="1" ref="N21" ca="1">INDEX(códigos!E:E,MATCH(D21,códigos!F:F,0))</f>
        <v>Daniela Carrillo Moreno</v>
      </c>
    </row>
    <row r="22" spans="1:30" ht="15.75" customHeight="1">
      <c r="A22" s="37">
        <v>2</v>
      </c>
      <c r="B22" s="38" t="str">
        <f ca="1">IF($E22="","",VLOOKUP(D22,códigos!$F:$G,2,FALSE))</f>
        <v>Iván Sánchez</v>
      </c>
      <c r="C22" s="40" t="s">
        <v>89</v>
      </c>
      <c r="D22" s="39" t="str">
        <f ca="1">IF(E22="","",VLOOKUP($E22,códigos!$E:$F,2,FALSE))</f>
        <v>ISL14</v>
      </c>
      <c r="E22" s="40" t="s">
        <v>90</v>
      </c>
      <c r="F22" s="40" t="s">
        <v>91</v>
      </c>
      <c r="G22" s="40" t="s">
        <v>92</v>
      </c>
      <c r="H22" s="41">
        <v>46063</v>
      </c>
      <c r="I22" s="37"/>
      <c r="J22" s="37">
        <v>-2085.2399999999998</v>
      </c>
      <c r="K22" s="38" t="str">
        <f>IF($C22="","",VLOOKUP(C22,códigos!$B:$C,2,FALSE))</f>
        <v>AUDICOST, S.L.U</v>
      </c>
      <c r="L22" s="40"/>
      <c r="M22" s="49"/>
      <c r="N22" s="34" t="str">
        <f t="array" aca="1" ref="N22" ca="1">INDEX(códigos!E:E,MATCH(D22,códigos!F:F,0))</f>
        <v>Carlos Velásquez Fermín</v>
      </c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0" ht="15.75" customHeight="1">
      <c r="A23" s="37">
        <v>2</v>
      </c>
      <c r="B23" s="38" t="str">
        <f ca="1">IF($E23="","",VLOOKUP(D23,códigos!$F:$G,2,FALSE))</f>
        <v>Iván Sánchez</v>
      </c>
      <c r="C23" s="40" t="s">
        <v>93</v>
      </c>
      <c r="D23" s="39" t="str">
        <f ca="1">IF(E23="","",VLOOKUP($E23,códigos!$E:$F,2,FALSE))</f>
        <v>ISL24</v>
      </c>
      <c r="E23" s="40" t="s">
        <v>94</v>
      </c>
      <c r="F23" s="40" t="s">
        <v>95</v>
      </c>
      <c r="G23" s="40" t="s">
        <v>53</v>
      </c>
      <c r="H23" s="41">
        <v>46056</v>
      </c>
      <c r="I23" s="37"/>
      <c r="J23" s="37">
        <v>-3098</v>
      </c>
      <c r="K23" s="38" t="str">
        <f>IF($C23="","",VLOOKUP(C23,códigos!$B:$C,2,FALSE))</f>
        <v>AUDICANTE</v>
      </c>
      <c r="L23" s="40"/>
      <c r="M23" s="35">
        <v>46009</v>
      </c>
      <c r="N23" s="34" t="str">
        <f t="array" aca="1" ref="N23" ca="1">INDEX(códigos!E:E,MATCH(D23,códigos!F:F,0))</f>
        <v>Enrique López Meseguer</v>
      </c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spans="1:30" ht="15.75" customHeight="1">
      <c r="A24" s="25">
        <v>2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34" t="e">
        <f t="array" aca="1" ref="N24" ca="1">INDEX(códigos!E:E,MATCH(D24,códigos!F:F,0))</f>
        <v>#N/A</v>
      </c>
    </row>
    <row r="25" spans="1:30" ht="15.75" customHeight="1">
      <c r="A25" s="25">
        <v>2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34" t="e">
        <f t="array" aca="1" ref="N25" ca="1">INDEX(códigos!E:E,MATCH(D25,códigos!F:F,0))</f>
        <v>#N/A</v>
      </c>
    </row>
    <row r="26" spans="1:30" ht="15.75" customHeight="1">
      <c r="A26" s="25">
        <v>2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  <c r="N26" s="34" t="e">
        <f t="array" aca="1" ref="N26" ca="1">INDEX(códigos!E:E,MATCH(D26,códigos!F:F,0))</f>
        <v>#N/A</v>
      </c>
    </row>
    <row r="27" spans="1:30" ht="15.75" customHeight="1">
      <c r="A27" s="25">
        <v>2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  <c r="N27" s="34" t="e">
        <f t="array" aca="1" ref="N27" ca="1">INDEX(códigos!E:E,MATCH(D27,códigos!F:F,0))</f>
        <v>#N/A</v>
      </c>
    </row>
    <row r="28" spans="1:30" ht="15.75" customHeight="1">
      <c r="A28" s="25"/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  <c r="N28" s="34"/>
    </row>
    <row r="29" spans="1:30" ht="15.75" customHeight="1">
      <c r="A29" s="25"/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  <c r="N29" s="34"/>
    </row>
    <row r="30" spans="1:30" ht="15.75" customHeight="1">
      <c r="A30" s="25"/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  <c r="N30" s="34"/>
    </row>
    <row r="31" spans="1:30" ht="15.75" customHeight="1">
      <c r="A31" s="25"/>
      <c r="B31" s="25"/>
      <c r="C31" s="7"/>
      <c r="D31" s="25"/>
      <c r="E31" s="25"/>
      <c r="F31" s="25"/>
      <c r="G31" s="25"/>
      <c r="H31" s="50"/>
      <c r="I31" s="25"/>
      <c r="J31" s="25"/>
      <c r="K31" s="51"/>
      <c r="N31" s="34"/>
    </row>
    <row r="32" spans="1:30" ht="15.75" customHeight="1">
      <c r="A32" s="25"/>
      <c r="B32" s="25"/>
      <c r="C32" s="7"/>
      <c r="D32" s="25"/>
      <c r="E32" s="25"/>
      <c r="F32" s="25"/>
      <c r="G32" s="25"/>
      <c r="H32" s="50"/>
      <c r="I32" s="25"/>
      <c r="J32" s="25"/>
      <c r="K32" s="51"/>
      <c r="N32" s="34"/>
    </row>
    <row r="33" spans="1:14" ht="15.75" customHeight="1">
      <c r="A33" s="25"/>
      <c r="B33" s="25"/>
      <c r="C33" s="7"/>
      <c r="D33" s="25"/>
      <c r="E33" s="25"/>
      <c r="F33" s="25"/>
      <c r="G33" s="25"/>
      <c r="H33" s="50"/>
      <c r="I33" s="25"/>
      <c r="J33" s="25"/>
      <c r="K33" s="51"/>
      <c r="N33" s="34"/>
    </row>
    <row r="34" spans="1:14" ht="15.75" customHeight="1">
      <c r="A34" s="25"/>
      <c r="B34" s="25"/>
      <c r="C34" s="7"/>
      <c r="D34" s="25"/>
      <c r="E34" s="25"/>
      <c r="F34" s="25"/>
      <c r="G34" s="25"/>
      <c r="H34" s="50"/>
      <c r="I34" s="25"/>
      <c r="J34" s="25"/>
      <c r="K34" s="51"/>
      <c r="N34" s="34"/>
    </row>
    <row r="35" spans="1:14" ht="15.75" customHeight="1">
      <c r="A35" s="25"/>
      <c r="B35" s="25"/>
      <c r="C35" s="7"/>
      <c r="D35" s="25"/>
      <c r="E35" s="25"/>
      <c r="F35" s="25"/>
      <c r="G35" s="25"/>
      <c r="H35" s="50"/>
      <c r="I35" s="25"/>
      <c r="J35" s="25"/>
      <c r="K35" s="51"/>
      <c r="N35" s="34"/>
    </row>
    <row r="36" spans="1:14" ht="15.75" customHeight="1">
      <c r="A36" s="25"/>
      <c r="B36" s="25"/>
      <c r="C36" s="7"/>
      <c r="D36" s="25"/>
      <c r="E36" s="25"/>
      <c r="F36" s="25"/>
      <c r="G36" s="25"/>
      <c r="H36" s="50"/>
      <c r="I36" s="25"/>
      <c r="J36" s="25"/>
      <c r="K36" s="51"/>
      <c r="N36" s="34"/>
    </row>
    <row r="37" spans="1:14" ht="15.75" customHeight="1">
      <c r="A37" s="25"/>
      <c r="B37" s="25"/>
      <c r="C37" s="7"/>
      <c r="D37" s="25"/>
      <c r="E37" s="25"/>
      <c r="F37" s="25"/>
      <c r="G37" s="25"/>
      <c r="H37" s="50"/>
      <c r="I37" s="25"/>
      <c r="J37" s="25"/>
      <c r="K37" s="51"/>
      <c r="N37" s="34"/>
    </row>
    <row r="38" spans="1:14" ht="15.75" customHeight="1">
      <c r="A38" s="25"/>
      <c r="B38" s="25"/>
      <c r="C38" s="7"/>
      <c r="D38" s="25"/>
      <c r="E38" s="25"/>
      <c r="F38" s="25"/>
      <c r="G38" s="25"/>
      <c r="H38" s="50"/>
      <c r="I38" s="25"/>
      <c r="J38" s="25"/>
      <c r="K38" s="51"/>
      <c r="N38" s="34"/>
    </row>
    <row r="39" spans="1:14" ht="15.75" customHeight="1">
      <c r="A39" s="25"/>
      <c r="B39" s="25"/>
      <c r="C39" s="7"/>
      <c r="D39" s="25"/>
      <c r="E39" s="25"/>
      <c r="F39" s="25"/>
      <c r="G39" s="25"/>
      <c r="H39" s="50"/>
      <c r="I39" s="25"/>
      <c r="J39" s="25"/>
      <c r="K39" s="51"/>
      <c r="N39" s="34"/>
    </row>
    <row r="40" spans="1:14" ht="15.75" customHeight="1">
      <c r="A40" s="25"/>
      <c r="B40" s="25"/>
      <c r="C40" s="7"/>
      <c r="D40" s="25"/>
      <c r="E40" s="25"/>
      <c r="F40" s="25"/>
      <c r="G40" s="25"/>
      <c r="H40" s="50"/>
      <c r="I40" s="25"/>
      <c r="J40" s="25"/>
      <c r="K40" s="51"/>
      <c r="N40" s="34"/>
    </row>
    <row r="41" spans="1:14" ht="15.75" customHeight="1">
      <c r="A41" s="25"/>
      <c r="B41" s="25"/>
      <c r="C41" s="7"/>
      <c r="D41" s="25"/>
      <c r="E41" s="25"/>
      <c r="F41" s="25"/>
      <c r="G41" s="25"/>
      <c r="H41" s="50"/>
      <c r="I41" s="25"/>
      <c r="J41" s="25"/>
      <c r="K41" s="51"/>
      <c r="N41" s="34"/>
    </row>
    <row r="42" spans="1:14" ht="15.75" customHeight="1">
      <c r="A42" s="25"/>
      <c r="B42" s="25"/>
      <c r="C42" s="7"/>
      <c r="D42" s="25"/>
      <c r="E42" s="25"/>
      <c r="F42" s="25"/>
      <c r="G42" s="25"/>
      <c r="H42" s="50"/>
      <c r="I42" s="25"/>
      <c r="J42" s="25"/>
      <c r="K42" s="51"/>
      <c r="N42" s="34"/>
    </row>
    <row r="43" spans="1:14" ht="15.75" customHeight="1">
      <c r="A43" s="25"/>
      <c r="B43" s="25"/>
      <c r="C43" s="7"/>
      <c r="D43" s="25"/>
      <c r="E43" s="25"/>
      <c r="F43" s="25"/>
      <c r="G43" s="25"/>
      <c r="H43" s="50"/>
      <c r="I43" s="25"/>
      <c r="J43" s="25"/>
      <c r="K43" s="51"/>
      <c r="N43" s="34"/>
    </row>
    <row r="44" spans="1:14" ht="15.75" customHeight="1">
      <c r="A44" s="25"/>
      <c r="B44" s="25"/>
      <c r="C44" s="7"/>
      <c r="D44" s="25"/>
      <c r="E44" s="25"/>
      <c r="F44" s="25"/>
      <c r="G44" s="25"/>
      <c r="H44" s="50"/>
      <c r="I44" s="25"/>
      <c r="J44" s="25"/>
      <c r="K44" s="51"/>
      <c r="N44" s="34"/>
    </row>
    <row r="45" spans="1:14" ht="15.75" customHeight="1">
      <c r="A45" s="25"/>
      <c r="B45" s="25"/>
      <c r="C45" s="7"/>
      <c r="D45" s="25"/>
      <c r="E45" s="25"/>
      <c r="F45" s="25"/>
      <c r="G45" s="25"/>
      <c r="H45" s="50"/>
      <c r="I45" s="25"/>
      <c r="J45" s="25"/>
      <c r="K45" s="51"/>
      <c r="N45" s="34"/>
    </row>
    <row r="46" spans="1:14" ht="15.75" customHeight="1">
      <c r="A46" s="25"/>
      <c r="B46" s="25"/>
      <c r="C46" s="7"/>
      <c r="D46" s="25"/>
      <c r="E46" s="25"/>
      <c r="F46" s="25"/>
      <c r="G46" s="25"/>
      <c r="H46" s="50"/>
      <c r="I46" s="25"/>
      <c r="J46" s="25"/>
      <c r="K46" s="51"/>
      <c r="N46" s="34"/>
    </row>
    <row r="47" spans="1:14" ht="15.75" customHeight="1">
      <c r="A47" s="25"/>
      <c r="B47" s="25"/>
      <c r="C47" s="7"/>
      <c r="D47" s="25"/>
      <c r="E47" s="25"/>
      <c r="F47" s="25"/>
      <c r="G47" s="25"/>
      <c r="H47" s="50"/>
      <c r="I47" s="25"/>
      <c r="J47" s="25"/>
      <c r="K47" s="51"/>
      <c r="N47" s="34"/>
    </row>
    <row r="48" spans="1:14" ht="15.75" customHeight="1">
      <c r="A48" s="25"/>
      <c r="B48" s="25"/>
      <c r="C48" s="7"/>
      <c r="D48" s="25"/>
      <c r="E48" s="25"/>
      <c r="F48" s="25"/>
      <c r="G48" s="25"/>
      <c r="H48" s="50"/>
      <c r="I48" s="25"/>
      <c r="J48" s="25"/>
      <c r="K48" s="51"/>
      <c r="N48" s="34"/>
    </row>
    <row r="49" spans="1:14" ht="15.75" customHeight="1">
      <c r="A49" s="25"/>
      <c r="B49" s="25"/>
      <c r="C49" s="7"/>
      <c r="D49" s="25"/>
      <c r="E49" s="25"/>
      <c r="F49" s="25"/>
      <c r="G49" s="25"/>
      <c r="H49" s="50"/>
      <c r="I49" s="25"/>
      <c r="J49" s="25"/>
      <c r="K49" s="51"/>
      <c r="N49" s="34"/>
    </row>
    <row r="50" spans="1:14" ht="15.75" customHeight="1">
      <c r="A50" s="25"/>
      <c r="B50" s="25"/>
      <c r="C50" s="7"/>
      <c r="D50" s="25"/>
      <c r="E50" s="25"/>
      <c r="F50" s="25"/>
      <c r="G50" s="25"/>
      <c r="H50" s="50"/>
      <c r="I50" s="25"/>
      <c r="J50" s="25"/>
      <c r="K50" s="51"/>
      <c r="N50" s="3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0000000}">
          <x14:formula1>
            <xm:f>códigos!$O:$O</xm:f>
          </x14:formula1>
          <xm:sqref>G4:G50</xm:sqref>
        </x14:dataValidation>
        <x14:dataValidation type="list" allowBlank="1" showErrorMessage="1" xr:uid="{00000000-0002-0000-0200-000001000000}">
          <x14:formula1>
            <xm:f>códigos!$E:$E</xm:f>
          </x14:formula1>
          <xm:sqref>E4:E21 E24:E30</xm:sqref>
        </x14:dataValidation>
        <x14:dataValidation type="list" allowBlank="1" showErrorMessage="1" xr:uid="{00000000-0002-0000-0200-000002000000}">
          <x14:formula1>
            <xm:f>códigos!$B:$B</xm:f>
          </x14:formula1>
          <xm:sqref>C4:C30</xm:sqref>
        </x14:dataValidation>
        <x14:dataValidation type="list" allowBlank="1" showErrorMessage="1" xr:uid="{00000000-0002-0000-0200-000005000000}">
          <x14:formula1>
            <xm:f>códigos!$E:$F</xm:f>
          </x14:formula1>
          <xm:sqref>E22:E23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957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4.33203125" customWidth="1"/>
    <col min="2" max="2" width="26.5" customWidth="1"/>
    <col min="3" max="3" width="20.5" customWidth="1"/>
    <col min="4" max="4" width="15.5" customWidth="1"/>
    <col min="5" max="5" width="45.33203125" customWidth="1"/>
    <col min="6" max="6" width="51.6640625" customWidth="1"/>
    <col min="7" max="7" width="26.6640625" customWidth="1"/>
    <col min="8" max="8" width="11.5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47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3</v>
      </c>
      <c r="B4" s="26" t="str">
        <f ca="1">IF($E4="","",VLOOKUP(D4,códigos!$F:$G,2,FALSE))</f>
        <v>Ramon Ferrando</v>
      </c>
      <c r="C4" s="27" t="s">
        <v>54</v>
      </c>
      <c r="D4" s="28" t="str">
        <f ca="1">IF(E4="","",VLOOKUP($E4,códigos!$E:$F,2,FALSE))</f>
        <v>ISL104</v>
      </c>
      <c r="E4" s="29" t="s">
        <v>74</v>
      </c>
      <c r="F4" s="29" t="s">
        <v>96</v>
      </c>
      <c r="G4" s="29" t="s">
        <v>24</v>
      </c>
      <c r="H4" s="31">
        <v>46085</v>
      </c>
      <c r="I4" s="31">
        <v>46084</v>
      </c>
      <c r="J4" s="29">
        <v>-285.73</v>
      </c>
      <c r="K4" s="26" t="str">
        <f>IF($C4="","",VLOOKUP(C4,códigos!$B:$C,2,FALSE))</f>
        <v>AUDICANTE</v>
      </c>
      <c r="L4" s="27"/>
      <c r="M4" s="33"/>
      <c r="N4" s="34" t="str">
        <f t="array" aca="1" ref="N4" ca="1">INDEX(códigos!E:E,MATCH(D4,códigos!F:F,0))</f>
        <v>Isabel Polo Tomás</v>
      </c>
    </row>
    <row r="5" spans="1:30" ht="15.75" customHeight="1">
      <c r="A5" s="25">
        <v>3</v>
      </c>
      <c r="B5" s="26" t="str">
        <f ca="1">IF($E5="","",VLOOKUP(D5,códigos!$F:$G,2,FALSE))</f>
        <v>Iván Sánchez</v>
      </c>
      <c r="C5" s="27" t="s">
        <v>97</v>
      </c>
      <c r="D5" s="28" t="str">
        <f ca="1">IF(E5="","",VLOOKUP($E5,códigos!$E:$F,2,FALSE))</f>
        <v>ISL149</v>
      </c>
      <c r="E5" s="29" t="s">
        <v>98</v>
      </c>
      <c r="F5" s="29" t="s">
        <v>99</v>
      </c>
      <c r="G5" s="29" t="s">
        <v>28</v>
      </c>
      <c r="H5" s="31"/>
      <c r="I5" s="31">
        <v>46086</v>
      </c>
      <c r="J5" s="29">
        <v>2176.19</v>
      </c>
      <c r="K5" s="26" t="str">
        <f>IF($C5="","",VLOOKUP(C5,códigos!$B:$C,2,FALSE))</f>
        <v>AUDICOST, S.L.U</v>
      </c>
      <c r="L5" s="27"/>
      <c r="M5" s="48"/>
      <c r="N5" s="34" t="str">
        <f t="array" aca="1" ref="N5" ca="1">INDEX(códigos!E:E,MATCH(D5,códigos!F:F,0))</f>
        <v>Ángel Onofre Pérez Coll</v>
      </c>
    </row>
    <row r="6" spans="1:30" ht="15.75" customHeight="1">
      <c r="A6" s="25">
        <v>3</v>
      </c>
      <c r="B6" s="26" t="str">
        <f ca="1">IF($E6="","",VLOOKUP(D6,códigos!$F:$G,2,FALSE))</f>
        <v>Lisandro Russian</v>
      </c>
      <c r="C6" s="27" t="s">
        <v>50</v>
      </c>
      <c r="D6" s="28" t="str">
        <f ca="1">IF(E6="","",VLOOKUP($E6,códigos!$E:$F,2,FALSE))</f>
        <v>LRM249</v>
      </c>
      <c r="E6" s="29" t="s">
        <v>100</v>
      </c>
      <c r="F6" s="25" t="s">
        <v>101</v>
      </c>
      <c r="G6" s="29" t="s">
        <v>102</v>
      </c>
      <c r="H6" s="30">
        <v>46094</v>
      </c>
      <c r="I6" s="31">
        <v>46093</v>
      </c>
      <c r="J6" s="29">
        <v>-4215.8599999999997</v>
      </c>
      <c r="K6" s="26" t="str">
        <f>IF($C6="","",VLOOKUP(C6,códigos!$B:$C,2,FALSE))</f>
        <v>AUDICOST LOGROÑO </v>
      </c>
      <c r="M6" s="32"/>
      <c r="N6" s="34" t="str">
        <f t="array" aca="1" ref="N6" ca="1">INDEX(códigos!E:E,MATCH(D6,códigos!F:F,0))</f>
        <v>Daniel Briones Crespo</v>
      </c>
    </row>
    <row r="7" spans="1:30" ht="15.75" customHeight="1">
      <c r="A7" s="25">
        <v>3</v>
      </c>
      <c r="B7" s="26" t="str">
        <f ca="1">IF($E7="","",VLOOKUP(D7,códigos!$F:$G,2,FALSE))</f>
        <v>Maika Blázquez</v>
      </c>
      <c r="C7" s="27" t="s">
        <v>30</v>
      </c>
      <c r="D7" s="28" t="str">
        <f ca="1">IF(E7="","",VLOOKUP($E7,códigos!$E:$F,2,FALSE))</f>
        <v>MBM50</v>
      </c>
      <c r="E7" s="29" t="s">
        <v>31</v>
      </c>
      <c r="F7" s="29" t="s">
        <v>103</v>
      </c>
      <c r="G7" s="29" t="s">
        <v>20</v>
      </c>
      <c r="H7" s="31"/>
      <c r="I7" s="31">
        <v>46090</v>
      </c>
      <c r="J7" s="29">
        <v>-699.99</v>
      </c>
      <c r="K7" s="26" t="str">
        <f>IF($C7="","",VLOOKUP(C7,códigos!$B:$C,2,FALSE))</f>
        <v>AUDICOST, S.L.U</v>
      </c>
      <c r="L7" s="27"/>
      <c r="M7" s="33"/>
      <c r="N7" s="34" t="str">
        <f t="array" aca="1" ref="N7" ca="1">INDEX(códigos!E:E,MATCH(D7,códigos!F:F,0))</f>
        <v>José Gustavo Barroso Braojos</v>
      </c>
    </row>
    <row r="8" spans="1:30" ht="15.75" customHeight="1">
      <c r="A8" s="25">
        <v>3</v>
      </c>
      <c r="B8" s="26" t="str">
        <f ca="1">IF($E8="","",VLOOKUP(D8,códigos!$F:$G,2,FALSE))</f>
        <v>Maika Blázquez</v>
      </c>
      <c r="C8" s="27" t="s">
        <v>30</v>
      </c>
      <c r="D8" s="28" t="str">
        <f ca="1">IF(E8="","",VLOOKUP($E8,códigos!$E:$F,2,FALSE))</f>
        <v>MBM50</v>
      </c>
      <c r="E8" s="29" t="s">
        <v>31</v>
      </c>
      <c r="F8" s="29" t="s">
        <v>104</v>
      </c>
      <c r="G8" s="29" t="s">
        <v>20</v>
      </c>
      <c r="H8" s="30"/>
      <c r="I8" s="31">
        <v>46090</v>
      </c>
      <c r="J8" s="29">
        <v>-62.99</v>
      </c>
      <c r="K8" s="26" t="str">
        <f>IF($C8="","",VLOOKUP(C8,códigos!$B:$C,2,FALSE))</f>
        <v>AUDICOST, S.L.U</v>
      </c>
      <c r="L8" s="27"/>
      <c r="M8" s="35"/>
      <c r="N8" s="34" t="str">
        <f t="array" aca="1" ref="N8" ca="1">INDEX(códigos!E:E,MATCH(D8,códigos!F:F,0))</f>
        <v>José Gustavo Barroso Braojos</v>
      </c>
    </row>
    <row r="9" spans="1:30" ht="15.75" customHeight="1">
      <c r="A9" s="25">
        <v>3</v>
      </c>
      <c r="B9" s="26" t="str">
        <f ca="1">IF($E9="","",VLOOKUP(D9,códigos!$F:$G,2,FALSE))</f>
        <v>Maika Blázquez</v>
      </c>
      <c r="C9" s="27" t="s">
        <v>30</v>
      </c>
      <c r="D9" s="28" t="str">
        <f ca="1">IF(E9="","",VLOOKUP($E9,códigos!$E:$F,2,FALSE))</f>
        <v>MBM50</v>
      </c>
      <c r="E9" s="29" t="s">
        <v>31</v>
      </c>
      <c r="F9" s="29" t="s">
        <v>105</v>
      </c>
      <c r="G9" s="29" t="s">
        <v>20</v>
      </c>
      <c r="H9" s="31"/>
      <c r="I9" s="31">
        <v>46090</v>
      </c>
      <c r="J9" s="29">
        <v>-119.99</v>
      </c>
      <c r="K9" s="26" t="str">
        <f>IF($C9="","",VLOOKUP(C9,códigos!$B:$C,2,FALSE))</f>
        <v>AUDICOST, S.L.U</v>
      </c>
      <c r="L9" s="27"/>
      <c r="M9" s="35"/>
      <c r="N9" s="34" t="str">
        <f t="array" aca="1" ref="N9" ca="1">INDEX(códigos!E:E,MATCH(D9,códigos!F:F,0))</f>
        <v>José Gustavo Barroso Braojos</v>
      </c>
    </row>
    <row r="10" spans="1:30" ht="15.75" customHeight="1">
      <c r="A10" s="25">
        <v>3</v>
      </c>
      <c r="B10" s="26" t="str">
        <f ca="1">IF($E10="","",VLOOKUP(D10,códigos!$F:$G,2,FALSE))</f>
        <v>Maika Blázquez</v>
      </c>
      <c r="C10" s="27" t="s">
        <v>30</v>
      </c>
      <c r="D10" s="28" t="str">
        <f ca="1">IF(E10="","",VLOOKUP($E10,códigos!$E:$F,2,FALSE))</f>
        <v>MBM50</v>
      </c>
      <c r="E10" s="29" t="s">
        <v>31</v>
      </c>
      <c r="F10" s="29" t="s">
        <v>106</v>
      </c>
      <c r="G10" s="29" t="s">
        <v>20</v>
      </c>
      <c r="H10" s="30"/>
      <c r="I10" s="31">
        <v>46090</v>
      </c>
      <c r="J10" s="29">
        <v>-399</v>
      </c>
      <c r="K10" s="26" t="str">
        <f>IF($C10="","",VLOOKUP(C10,códigos!$B:$C,2,FALSE))</f>
        <v>AUDICOST, S.L.U</v>
      </c>
      <c r="L10" s="27"/>
      <c r="M10" s="33"/>
      <c r="N10" s="34" t="str">
        <f t="array" aca="1" ref="N10" ca="1">INDEX(códigos!E:E,MATCH(D10,códigos!F:F,0))</f>
        <v>José Gustavo Barroso Braojos</v>
      </c>
    </row>
    <row r="11" spans="1:30" ht="15.75" customHeight="1">
      <c r="A11" s="25">
        <v>3</v>
      </c>
      <c r="B11" s="26" t="str">
        <f ca="1">IF($E11="","",VLOOKUP(D11,códigos!$F:$G,2,FALSE))</f>
        <v>Maika Blázquez</v>
      </c>
      <c r="C11" s="27" t="s">
        <v>30</v>
      </c>
      <c r="D11" s="28" t="str">
        <f ca="1">IF(E11="","",VLOOKUP($E11,códigos!$E:$F,2,FALSE))</f>
        <v>MBM50</v>
      </c>
      <c r="E11" s="29" t="s">
        <v>31</v>
      </c>
      <c r="F11" s="29" t="s">
        <v>107</v>
      </c>
      <c r="G11" s="29" t="s">
        <v>20</v>
      </c>
      <c r="H11" s="31"/>
      <c r="I11" s="31">
        <v>46090</v>
      </c>
      <c r="J11" s="29">
        <v>-153.97</v>
      </c>
      <c r="K11" s="26" t="str">
        <f>IF($C11="","",VLOOKUP(C11,códigos!$B:$C,2,FALSE))</f>
        <v>AUDICOST, S.L.U</v>
      </c>
      <c r="L11" s="27"/>
      <c r="M11" s="36"/>
      <c r="N11" s="34" t="str">
        <f t="array" aca="1" ref="N11" ca="1">INDEX(códigos!E:E,MATCH(D11,códigos!F:F,0))</f>
        <v>José Gustavo Barroso Braojos</v>
      </c>
    </row>
    <row r="12" spans="1:30" ht="15.75" customHeight="1">
      <c r="A12" s="25">
        <v>3</v>
      </c>
      <c r="B12" s="26" t="str">
        <f ca="1">IF($E12="","",VLOOKUP(D12,códigos!$F:$G,2,FALSE))</f>
        <v>Maika Blázquez</v>
      </c>
      <c r="C12" s="27" t="s">
        <v>30</v>
      </c>
      <c r="D12" s="28" t="str">
        <f ca="1">IF(E12="","",VLOOKUP($E12,códigos!$E:$F,2,FALSE))</f>
        <v>MBM50</v>
      </c>
      <c r="E12" s="29" t="s">
        <v>31</v>
      </c>
      <c r="F12" s="29" t="s">
        <v>108</v>
      </c>
      <c r="G12" s="29" t="s">
        <v>20</v>
      </c>
      <c r="H12" s="30"/>
      <c r="I12" s="31">
        <v>46090</v>
      </c>
      <c r="J12" s="29">
        <f>-465*2</f>
        <v>-930</v>
      </c>
      <c r="K12" s="26" t="str">
        <f>IF($C12="","",VLOOKUP(C12,códigos!$B:$C,2,FALSE))</f>
        <v>AUDICOST, S.L.U</v>
      </c>
      <c r="L12" s="27"/>
      <c r="M12" s="36"/>
      <c r="N12" s="34" t="str">
        <f t="array" aca="1" ref="N12" ca="1">INDEX(códigos!E:E,MATCH(D12,códigos!F:F,0))</f>
        <v>José Gustavo Barroso Braojos</v>
      </c>
    </row>
    <row r="13" spans="1:30" ht="15.75" customHeight="1">
      <c r="A13" s="25">
        <v>3</v>
      </c>
      <c r="B13" s="26" t="str">
        <f ca="1">IF($E13="","",VLOOKUP(D13,códigos!$F:$G,2,FALSE))</f>
        <v>Maika Blázquez</v>
      </c>
      <c r="C13" s="27" t="s">
        <v>21</v>
      </c>
      <c r="D13" s="28" t="str">
        <f ca="1">IF(E13="","",VLOOKUP($E13,códigos!$E:$F,2,FALSE))</f>
        <v>MBM223</v>
      </c>
      <c r="E13" s="29" t="s">
        <v>109</v>
      </c>
      <c r="F13" s="29" t="s">
        <v>110</v>
      </c>
      <c r="G13" s="29" t="s">
        <v>33</v>
      </c>
      <c r="H13" s="30">
        <v>46092</v>
      </c>
      <c r="I13" s="31">
        <v>46090</v>
      </c>
      <c r="J13" s="29">
        <v>-2268.6</v>
      </c>
      <c r="K13" s="26" t="str">
        <f>IF($C13="","",VLOOKUP(C13,códigos!$B:$C,2,FALSE))</f>
        <v>AUDIBRADA</v>
      </c>
      <c r="L13" s="27"/>
      <c r="M13" s="32"/>
      <c r="N13" s="34" t="str">
        <f t="array" aca="1" ref="N13" ca="1">INDEX(códigos!E:E,MATCH(D13,códigos!F:F,0))</f>
        <v>Cristina Vaduva</v>
      </c>
    </row>
    <row r="14" spans="1:30" ht="15.75" customHeight="1">
      <c r="A14" s="25">
        <v>3</v>
      </c>
      <c r="B14" s="26" t="str">
        <f ca="1">IF($E14="","",VLOOKUP(D14,códigos!$F:$G,2,FALSE))</f>
        <v>Iván Sánchez</v>
      </c>
      <c r="C14" s="27" t="s">
        <v>89</v>
      </c>
      <c r="D14" s="28" t="str">
        <f ca="1">IF(E14="","",VLOOKUP($E14,códigos!$E:$F,2,FALSE))</f>
        <v>ISL14</v>
      </c>
      <c r="E14" s="29" t="s">
        <v>90</v>
      </c>
      <c r="F14" s="29" t="s">
        <v>49</v>
      </c>
      <c r="G14" s="29" t="s">
        <v>28</v>
      </c>
      <c r="H14" s="42">
        <v>46094</v>
      </c>
      <c r="I14" s="42">
        <v>46090</v>
      </c>
      <c r="J14" s="37">
        <v>-568.70000000000005</v>
      </c>
      <c r="K14" s="26" t="str">
        <f>IF($C14="","",VLOOKUP(C14,códigos!$B:$C,2,FALSE))</f>
        <v>AUDICOST, S.L.U</v>
      </c>
      <c r="L14" s="27"/>
      <c r="M14" s="33"/>
      <c r="N14" s="34" t="str">
        <f t="array" aca="1" ref="N14" ca="1">INDEX(códigos!E:E,MATCH(D14,códigos!F:F,0))</f>
        <v>Carlos Velásquez Fermín</v>
      </c>
    </row>
    <row r="15" spans="1:30" ht="15.75" customHeight="1">
      <c r="A15" s="25">
        <v>3</v>
      </c>
      <c r="B15" s="26" t="str">
        <f ca="1">IF($E15="","",VLOOKUP(D15,códigos!$F:$G,2,FALSE))</f>
        <v>Iván Sánchez</v>
      </c>
      <c r="C15" s="27" t="s">
        <v>89</v>
      </c>
      <c r="D15" s="28" t="str">
        <f ca="1">IF(E15="","",VLOOKUP($E15,códigos!$E:$F,2,FALSE))</f>
        <v>ISL58</v>
      </c>
      <c r="E15" s="29" t="s">
        <v>111</v>
      </c>
      <c r="F15" s="29" t="s">
        <v>112</v>
      </c>
      <c r="G15" s="29" t="s">
        <v>33</v>
      </c>
      <c r="H15" s="37"/>
      <c r="I15" s="42">
        <v>46090</v>
      </c>
      <c r="J15" s="37">
        <v>-1719</v>
      </c>
      <c r="K15" s="26" t="str">
        <f>IF($C15="","",VLOOKUP(C15,códigos!$B:$C,2,FALSE))</f>
        <v>AUDICOST, S.L.U</v>
      </c>
      <c r="L15" s="27"/>
      <c r="M15" s="33"/>
      <c r="N15" s="34" t="str">
        <f t="array" aca="1" ref="N15" ca="1">INDEX(códigos!E:E,MATCH(D15,códigos!F:F,0))</f>
        <v>Juan Javier Álvarez López</v>
      </c>
    </row>
    <row r="16" spans="1:30" ht="15.75" customHeight="1">
      <c r="A16" s="25">
        <v>3</v>
      </c>
      <c r="B16" s="26" t="str">
        <f ca="1">IF($E16="","",VLOOKUP(D16,códigos!$F:$G,2,FALSE))</f>
        <v>Iván Sánchez</v>
      </c>
      <c r="C16" s="27" t="s">
        <v>89</v>
      </c>
      <c r="D16" s="28" t="str">
        <f ca="1">IF(E16="","",VLOOKUP($E16,códigos!$E:$F,2,FALSE))</f>
        <v>ISL58</v>
      </c>
      <c r="E16" s="29" t="s">
        <v>111</v>
      </c>
      <c r="F16" s="29" t="s">
        <v>113</v>
      </c>
      <c r="G16" s="29" t="s">
        <v>33</v>
      </c>
      <c r="H16" s="37"/>
      <c r="I16" s="42">
        <v>46090</v>
      </c>
      <c r="J16" s="37">
        <v>-849</v>
      </c>
      <c r="K16" s="26" t="str">
        <f>IF($C16="","",VLOOKUP(C16,códigos!$B:$C,2,FALSE))</f>
        <v>AUDICOST, S.L.U</v>
      </c>
      <c r="L16" s="27"/>
      <c r="M16" s="33"/>
      <c r="N16" s="34" t="str">
        <f t="array" aca="1" ref="N16" ca="1">INDEX(códigos!E:E,MATCH(D16,códigos!F:F,0))</f>
        <v>Juan Javier Álvarez López</v>
      </c>
    </row>
    <row r="17" spans="1:29" ht="15.75" customHeight="1">
      <c r="A17" s="25">
        <v>3</v>
      </c>
      <c r="B17" s="26" t="str">
        <f ca="1">IF($E17="","",VLOOKUP(D17,códigos!$F:$G,2,FALSE))</f>
        <v>Luis Alberto Rodríguez</v>
      </c>
      <c r="C17" s="27" t="s">
        <v>17</v>
      </c>
      <c r="D17" s="28" t="str">
        <f ca="1">IF(E17="","",VLOOKUP($E17,códigos!$E:$F,2,FALSE))</f>
        <v>LAA81</v>
      </c>
      <c r="E17" s="29" t="s">
        <v>114</v>
      </c>
      <c r="F17" s="29" t="s">
        <v>96</v>
      </c>
      <c r="G17" s="29" t="s">
        <v>24</v>
      </c>
      <c r="H17" s="30"/>
      <c r="I17" s="31">
        <v>46091</v>
      </c>
      <c r="J17" s="29">
        <v>-1171.53</v>
      </c>
      <c r="K17" s="26" t="str">
        <f>IF($C17="","",VLOOKUP(C17,códigos!$B:$C,2,FALSE))</f>
        <v>AUDICOST, S.L.U</v>
      </c>
      <c r="L17" s="27"/>
      <c r="M17" s="44"/>
      <c r="N17" s="34" t="str">
        <f t="array" aca="1" ref="N17" ca="1">INDEX(códigos!E:E,MATCH(D17,códigos!F:F,0))</f>
        <v>Manuel Tucciarone</v>
      </c>
    </row>
    <row r="18" spans="1:29" ht="15.75" customHeight="1">
      <c r="A18" s="25">
        <v>3</v>
      </c>
      <c r="B18" s="26" t="str">
        <f ca="1">IF($E18="","",VLOOKUP(D18,códigos!$F:$G,2,FALSE))</f>
        <v>Iván Sánchez</v>
      </c>
      <c r="C18" s="27" t="s">
        <v>89</v>
      </c>
      <c r="D18" s="28" t="str">
        <f ca="1">IF(E18="","",VLOOKUP($E18,códigos!$E:$F,2,FALSE))</f>
        <v>ISL142</v>
      </c>
      <c r="E18" s="29" t="s">
        <v>115</v>
      </c>
      <c r="F18" s="29" t="s">
        <v>116</v>
      </c>
      <c r="G18" s="29" t="s">
        <v>28</v>
      </c>
      <c r="H18" s="42">
        <v>46094</v>
      </c>
      <c r="I18" s="42">
        <v>46092</v>
      </c>
      <c r="J18" s="37">
        <v>-2176.19</v>
      </c>
      <c r="K18" s="26" t="str">
        <f>IF($C18="","",VLOOKUP(C18,códigos!$B:$C,2,FALSE))</f>
        <v>AUDICOST, S.L.U</v>
      </c>
      <c r="L18" s="37"/>
      <c r="M18" s="45"/>
    </row>
    <row r="19" spans="1:29" ht="15.75" customHeight="1">
      <c r="A19" s="25">
        <v>3</v>
      </c>
      <c r="B19" s="26" t="str">
        <f ca="1">IF($E19="","",VLOOKUP(D19,códigos!$F:$G,2,FALSE))</f>
        <v>Iván Sánchez</v>
      </c>
      <c r="C19" s="27" t="s">
        <v>117</v>
      </c>
      <c r="D19" s="28" t="str">
        <f ca="1">IF(E19="","",VLOOKUP($E19,códigos!$E:$F,2,FALSE))</f>
        <v>ISL105</v>
      </c>
      <c r="E19" s="29" t="s">
        <v>118</v>
      </c>
      <c r="F19" s="25" t="s">
        <v>49</v>
      </c>
      <c r="G19" s="29" t="s">
        <v>28</v>
      </c>
      <c r="H19" s="30">
        <v>46106</v>
      </c>
      <c r="I19" s="31">
        <v>46099</v>
      </c>
      <c r="J19" s="29">
        <v>-599.52</v>
      </c>
      <c r="K19" s="26" t="str">
        <f>IF($C19="","",VLOOKUP(C19,códigos!$B:$C,2,FALSE))</f>
        <v>AUDICANTE</v>
      </c>
      <c r="M19" s="36"/>
    </row>
    <row r="20" spans="1:29" ht="15.75" customHeight="1">
      <c r="A20" s="25">
        <v>3</v>
      </c>
      <c r="B20" s="26" t="str">
        <f ca="1">IF($E20="","",VLOOKUP(D20,códigos!$F:$G,2,FALSE))</f>
        <v>Lisandro Russian</v>
      </c>
      <c r="C20" s="27" t="s">
        <v>50</v>
      </c>
      <c r="D20" s="28" t="str">
        <f ca="1">IF(E20="","",VLOOKUP($E20,códigos!$E:$F,2,FALSE))</f>
        <v>LRM261</v>
      </c>
      <c r="E20" s="29" t="s">
        <v>119</v>
      </c>
      <c r="F20" s="29" t="s">
        <v>120</v>
      </c>
      <c r="G20" s="29" t="s">
        <v>24</v>
      </c>
      <c r="H20" s="31">
        <v>46099</v>
      </c>
      <c r="I20" s="29"/>
      <c r="J20" s="29"/>
      <c r="K20" s="26" t="str">
        <f>IF($C20="","",VLOOKUP(C20,códigos!$B:$C,2,FALSE))</f>
        <v>AUDICOST LOGROÑO </v>
      </c>
      <c r="L20" s="27"/>
      <c r="M20" s="46"/>
    </row>
    <row r="21" spans="1:29" ht="15.75" customHeight="1">
      <c r="A21" s="25">
        <v>3</v>
      </c>
      <c r="B21" s="26" t="str">
        <f ca="1">IF($E21="","",VLOOKUP(D21,códigos!$F:$G,2,FALSE))</f>
        <v>Maika Blázquez</v>
      </c>
      <c r="C21" s="27" t="s">
        <v>30</v>
      </c>
      <c r="D21" s="28" t="str">
        <f ca="1">IF(E21="","",VLOOKUP($E21,códigos!$E:$F,2,FALSE))</f>
        <v>MBM50</v>
      </c>
      <c r="E21" s="29" t="s">
        <v>31</v>
      </c>
      <c r="F21" s="29" t="s">
        <v>121</v>
      </c>
      <c r="G21" s="29" t="s">
        <v>20</v>
      </c>
      <c r="H21" s="31">
        <v>46099</v>
      </c>
      <c r="I21" s="29"/>
      <c r="J21" s="29"/>
      <c r="K21" s="26" t="str">
        <f>IF($C21="","",VLOOKUP(C21,códigos!$B:$C,2,FALSE))</f>
        <v>AUDICOST, S.L.U</v>
      </c>
      <c r="L21" s="27"/>
      <c r="M21" s="46"/>
    </row>
    <row r="22" spans="1:29" ht="15.75" customHeight="1">
      <c r="A22" s="25">
        <v>3</v>
      </c>
      <c r="B22" s="26" t="str">
        <f ca="1">IF($E22="","",VLOOKUP(D22,códigos!$F:$G,2,FALSE))</f>
        <v>Iván Sánchez</v>
      </c>
      <c r="C22" s="27" t="s">
        <v>89</v>
      </c>
      <c r="D22" s="28" t="str">
        <f ca="1">IF(E22="","",VLOOKUP($E22,códigos!$E:$F,2,FALSE))</f>
        <v>ISL14</v>
      </c>
      <c r="E22" s="29" t="s">
        <v>90</v>
      </c>
      <c r="F22" s="29" t="s">
        <v>122</v>
      </c>
      <c r="G22" s="29" t="s">
        <v>102</v>
      </c>
      <c r="H22" s="31">
        <v>46106</v>
      </c>
      <c r="I22" s="31">
        <v>46105</v>
      </c>
      <c r="J22" s="29">
        <v>-2286.1</v>
      </c>
      <c r="K22" s="26" t="str">
        <f>IF($C22="","",VLOOKUP(C22,códigos!$B:$C,2,FALSE))</f>
        <v>AUDICOST, S.L.U</v>
      </c>
      <c r="L22" s="27"/>
      <c r="M22" s="46"/>
    </row>
    <row r="23" spans="1:29" ht="15.75" customHeight="1">
      <c r="A23" s="25">
        <v>3</v>
      </c>
      <c r="B23" s="26" t="str">
        <f ca="1">IF($E23="","",VLOOKUP(D23,códigos!$F:$G,2,FALSE))</f>
        <v>Luis Alberto Rodríguez</v>
      </c>
      <c r="C23" s="27" t="s">
        <v>34</v>
      </c>
      <c r="D23" s="28" t="str">
        <f ca="1">IF(E23="","",VLOOKUP($E23,códigos!$E:$F,2,FALSE))</f>
        <v>LAA47</v>
      </c>
      <c r="E23" s="29" t="s">
        <v>123</v>
      </c>
      <c r="F23" s="29" t="s">
        <v>124</v>
      </c>
      <c r="G23" s="29" t="s">
        <v>53</v>
      </c>
      <c r="H23" s="31">
        <v>46108</v>
      </c>
      <c r="I23" s="31">
        <v>46107</v>
      </c>
      <c r="J23" s="29">
        <v>-13700</v>
      </c>
      <c r="K23" s="26" t="str">
        <f>IF($C23="","",VLOOKUP(C23,códigos!$B:$C,2,FALSE))</f>
        <v>OIR VITAL CENTROS AUDITIVOS </v>
      </c>
      <c r="L23" s="27"/>
      <c r="M23" s="46"/>
    </row>
    <row r="24" spans="1:29" ht="15.75" customHeight="1">
      <c r="A24" s="25">
        <v>3</v>
      </c>
      <c r="B24" s="26" t="str">
        <f ca="1">IF($E24="","",VLOOKUP(D24,códigos!$F:$G,2,FALSE))</f>
        <v>Ramon Ferrando</v>
      </c>
      <c r="C24" s="27" t="s">
        <v>58</v>
      </c>
      <c r="D24" s="28" t="str">
        <f ca="1">IF(E24="","",VLOOKUP($E24,códigos!$E:$F,2,FALSE))</f>
        <v>RFV26</v>
      </c>
      <c r="E24" s="29" t="s">
        <v>125</v>
      </c>
      <c r="F24" s="29" t="s">
        <v>126</v>
      </c>
      <c r="G24" s="29" t="s">
        <v>28</v>
      </c>
      <c r="H24" s="31">
        <v>46108</v>
      </c>
      <c r="I24" s="31">
        <v>46107</v>
      </c>
      <c r="J24" s="29">
        <v>-490.51</v>
      </c>
      <c r="K24" s="26" t="str">
        <f>IF($C24="","",VLOOKUP(C24,códigos!$B:$C,2,FALSE))</f>
        <v>AUDICANTE</v>
      </c>
      <c r="L24" s="27"/>
      <c r="M24" s="46"/>
    </row>
    <row r="25" spans="1:29" ht="15.75" customHeight="1">
      <c r="A25" s="25">
        <v>3</v>
      </c>
      <c r="B25" s="26" t="str">
        <f ca="1">IF($E25="","",VLOOKUP(D25,códigos!$F:$G,2,FALSE))</f>
        <v>Iván Sánchez</v>
      </c>
      <c r="C25" s="27" t="s">
        <v>117</v>
      </c>
      <c r="D25" s="28" t="str">
        <f ca="1">IF(E25="","",VLOOKUP($E25,códigos!$E:$F,2,FALSE))</f>
        <v>ISL14</v>
      </c>
      <c r="E25" s="29" t="s">
        <v>90</v>
      </c>
      <c r="F25" s="29" t="s">
        <v>127</v>
      </c>
      <c r="G25" s="29" t="s">
        <v>76</v>
      </c>
      <c r="H25" s="31">
        <v>46112</v>
      </c>
      <c r="I25" s="31">
        <v>46111</v>
      </c>
      <c r="J25" s="29">
        <v>-856.98</v>
      </c>
      <c r="K25" s="26" t="str">
        <f>IF($C25="","",VLOOKUP(C25,códigos!$B:$C,2,FALSE))</f>
        <v>AUDICANTE</v>
      </c>
      <c r="L25" s="27"/>
      <c r="M25" s="46"/>
    </row>
    <row r="26" spans="1:29" ht="15.75" customHeight="1">
      <c r="A26" s="25">
        <v>3</v>
      </c>
      <c r="B26" s="26" t="str">
        <f ca="1">IF($E26="","",VLOOKUP(D26,códigos!$F:$G,2,FALSE))</f>
        <v>Iván Sánchez</v>
      </c>
      <c r="C26" s="27" t="s">
        <v>93</v>
      </c>
      <c r="D26" s="28" t="str">
        <f ca="1">IF(E26="","",VLOOKUP($E26,códigos!$E:$F,2,FALSE))</f>
        <v>ISL24</v>
      </c>
      <c r="E26" s="29" t="s">
        <v>94</v>
      </c>
      <c r="F26" s="29" t="s">
        <v>128</v>
      </c>
      <c r="G26" s="29" t="s">
        <v>129</v>
      </c>
      <c r="H26" s="31">
        <v>46112</v>
      </c>
      <c r="I26" s="31">
        <v>46112</v>
      </c>
      <c r="J26" s="29">
        <v>-318</v>
      </c>
      <c r="K26" s="26" t="str">
        <f>IF($C26="","",VLOOKUP(C26,códigos!$B:$C,2,FALSE))</f>
        <v>AUDICANTE</v>
      </c>
      <c r="L26" s="27"/>
      <c r="M26" s="46"/>
    </row>
    <row r="27" spans="1:29" ht="15.75" customHeight="1">
      <c r="A27" s="25">
        <v>3</v>
      </c>
      <c r="B27" s="26" t="str">
        <f ca="1">IF($E27="","",VLOOKUP(D27,códigos!$F:$G,2,FALSE))</f>
        <v>Maika Blázquez</v>
      </c>
      <c r="C27" s="27" t="s">
        <v>40</v>
      </c>
      <c r="D27" s="28" t="s">
        <v>130</v>
      </c>
      <c r="E27" s="29" t="s">
        <v>131</v>
      </c>
      <c r="F27" s="29" t="s">
        <v>49</v>
      </c>
      <c r="G27" s="29" t="s">
        <v>28</v>
      </c>
      <c r="H27" s="29"/>
      <c r="I27" s="31">
        <v>46111</v>
      </c>
      <c r="J27" s="29">
        <v>-600</v>
      </c>
      <c r="K27" s="26" t="str">
        <f>IF($C27="","",VLOOKUP(C27,códigos!$B:$C,2,FALSE))</f>
        <v>SIEMA BLINK, S.L</v>
      </c>
      <c r="L27" s="27"/>
      <c r="M27" s="46"/>
    </row>
    <row r="28" spans="1:29" ht="15.75" customHeight="1">
      <c r="A28" s="37">
        <v>1</v>
      </c>
      <c r="B28" s="38" t="str">
        <f ca="1">IF($E28="","",VLOOKUP(D28,códigos!$F:$G,2,FALSE))</f>
        <v>Lisandro Russian</v>
      </c>
      <c r="C28" s="40" t="s">
        <v>47</v>
      </c>
      <c r="D28" s="39" t="str">
        <f ca="1">IF(E28="","",VLOOKUP($E28,códigos!$E:$F,2,FALSE))</f>
        <v>LRM239</v>
      </c>
      <c r="E28" s="40" t="s">
        <v>132</v>
      </c>
      <c r="F28" s="40" t="s">
        <v>133</v>
      </c>
      <c r="G28" s="40" t="s">
        <v>134</v>
      </c>
      <c r="H28" s="37" t="s">
        <v>14</v>
      </c>
      <c r="J28" s="37">
        <v>-1398.88</v>
      </c>
      <c r="K28" s="38" t="str">
        <f>IF($C28="","",VLOOKUP($C28,códigos!$B:$C,2,FALSE))</f>
        <v>AUDICOST, S.L.U</v>
      </c>
      <c r="L28" s="49"/>
      <c r="M28" s="34" t="str">
        <f t="array" aca="1" ref="M28" ca="1">INDEX(códigos!E:E,MATCH(D28,códigos!F:F,0))</f>
        <v>Carlos Barajas Del Rosal</v>
      </c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 spans="1:29" ht="15.75" customHeight="1">
      <c r="A29" s="37">
        <v>2</v>
      </c>
      <c r="B29" s="38" t="str">
        <f ca="1">IF($E29="","",VLOOKUP(D29,códigos!$F:$G,2,FALSE))</f>
        <v>Lisandro Russian</v>
      </c>
      <c r="C29" s="40" t="s">
        <v>47</v>
      </c>
      <c r="D29" s="39" t="str">
        <f ca="1">IF(E29="","",VLOOKUP($E29,códigos!$E:$F,2,FALSE))</f>
        <v>LRM239</v>
      </c>
      <c r="E29" s="40" t="s">
        <v>132</v>
      </c>
      <c r="F29" s="40" t="s">
        <v>135</v>
      </c>
      <c r="G29" s="40" t="s">
        <v>134</v>
      </c>
      <c r="H29" s="37" t="s">
        <v>14</v>
      </c>
      <c r="J29" s="37">
        <v>-1398.88</v>
      </c>
      <c r="K29" s="38" t="str">
        <f>IF($C29="","",VLOOKUP($C29,códigos!$B:$C,2,FALSE))</f>
        <v>AUDICOST, S.L.U</v>
      </c>
      <c r="L29" s="49"/>
      <c r="M29" s="34" t="str">
        <f t="array" aca="1" ref="M29" ca="1">INDEX(códigos!E:E,MATCH(D29,códigos!F:F,0))</f>
        <v>Carlos Barajas Del Rosal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 spans="1:29" ht="15.75" customHeight="1">
      <c r="A30" s="37">
        <v>3</v>
      </c>
      <c r="B30" s="38" t="str">
        <f ca="1">IF($E30="","",VLOOKUP(D30,códigos!$F:$G,2,FALSE))</f>
        <v>Lisandro Russian</v>
      </c>
      <c r="C30" s="40" t="s">
        <v>47</v>
      </c>
      <c r="D30" s="39" t="str">
        <f ca="1">IF(E30="","",VLOOKUP($E30,códigos!$E:$F,2,FALSE))</f>
        <v>LRM239</v>
      </c>
      <c r="E30" s="40" t="s">
        <v>132</v>
      </c>
      <c r="F30" s="40" t="s">
        <v>136</v>
      </c>
      <c r="G30" s="40" t="s">
        <v>134</v>
      </c>
      <c r="H30" s="37" t="s">
        <v>14</v>
      </c>
      <c r="J30" s="37">
        <v>-1398.88</v>
      </c>
      <c r="K30" s="38" t="str">
        <f>IF($C30="","",VLOOKUP($C30,códigos!$B:$C,2,FALSE))</f>
        <v>AUDICOST, S.L.U</v>
      </c>
      <c r="L30" s="49"/>
      <c r="M30" s="34" t="str">
        <f t="array" aca="1" ref="M30" ca="1">INDEX(códigos!E:E,MATCH(D30,códigos!F:F,0))</f>
        <v>Carlos Barajas Del Rosal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 spans="1:29" ht="15.75" customHeight="1">
      <c r="A31" s="25"/>
      <c r="B31" s="29"/>
      <c r="C31" s="27"/>
      <c r="D31" s="29"/>
      <c r="E31" s="25"/>
      <c r="F31" s="29"/>
      <c r="G31" s="29"/>
      <c r="H31" s="29"/>
      <c r="I31" s="29"/>
      <c r="J31" s="29"/>
      <c r="K31" s="25"/>
    </row>
    <row r="32" spans="1:29" ht="15.75" customHeight="1">
      <c r="A32" s="25"/>
      <c r="B32" s="29"/>
      <c r="C32" s="27"/>
      <c r="D32" s="29"/>
      <c r="E32" s="25"/>
      <c r="F32" s="29"/>
      <c r="G32" s="29"/>
      <c r="H32" s="29"/>
      <c r="I32" s="29"/>
      <c r="J32" s="29"/>
      <c r="K32" s="25"/>
    </row>
    <row r="33" spans="1:11" ht="15.75" customHeight="1">
      <c r="A33" s="25"/>
      <c r="B33" s="29"/>
      <c r="C33" s="27"/>
      <c r="D33" s="29"/>
      <c r="E33" s="25"/>
      <c r="F33" s="29"/>
      <c r="G33" s="29"/>
      <c r="H33" s="29"/>
      <c r="I33" s="29"/>
      <c r="J33" s="29"/>
      <c r="K33" s="25"/>
    </row>
    <row r="34" spans="1:11" ht="15.75" customHeight="1">
      <c r="A34" s="25"/>
      <c r="B34" s="29"/>
      <c r="C34" s="27"/>
      <c r="D34" s="29"/>
      <c r="E34" s="25"/>
      <c r="F34" s="29"/>
      <c r="G34" s="29"/>
      <c r="H34" s="29"/>
      <c r="I34" s="29"/>
      <c r="J34" s="29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1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2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 t="s">
        <v>5</v>
      </c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9"/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5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1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2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 t="s">
        <v>5</v>
      </c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9"/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5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1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2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 t="s">
        <v>5</v>
      </c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9"/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</row>
    <row r="178" spans="1:11" ht="15.75" customHeight="1">
      <c r="A178" s="25"/>
      <c r="B178" s="25"/>
      <c r="D178" s="25"/>
      <c r="E178" s="29"/>
      <c r="F178" s="25"/>
      <c r="G178" s="25"/>
      <c r="H178" s="25"/>
      <c r="I178" s="25"/>
      <c r="J178" s="25"/>
      <c r="K178" s="25"/>
    </row>
    <row r="179" spans="1:11" ht="15.75" customHeight="1">
      <c r="A179" s="25"/>
      <c r="B179" s="25"/>
      <c r="D179" s="25"/>
      <c r="E179" s="29"/>
      <c r="F179" s="25"/>
      <c r="G179" s="25"/>
      <c r="H179" s="25"/>
      <c r="I179" s="25"/>
      <c r="J179" s="25"/>
      <c r="K179" s="25"/>
    </row>
    <row r="180" spans="1:11" ht="15.75" customHeight="1">
      <c r="A180" s="25"/>
      <c r="B180" s="25"/>
      <c r="D180" s="25"/>
      <c r="E180" s="25"/>
      <c r="F180" s="25"/>
      <c r="G180" s="25"/>
      <c r="H180" s="25"/>
      <c r="I180" s="25"/>
      <c r="J180" s="25"/>
      <c r="K180" s="25"/>
    </row>
    <row r="181" spans="1:11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</row>
    <row r="182" spans="1:11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</row>
    <row r="183" spans="1:11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</row>
    <row r="184" spans="1:11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</row>
    <row r="185" spans="1:11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</row>
    <row r="186" spans="1:11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</row>
    <row r="187" spans="1:11" ht="15.7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</row>
    <row r="188" spans="1:11" ht="15.75" customHeight="1">
      <c r="A188" s="25"/>
      <c r="B188" s="25"/>
      <c r="D188" s="25"/>
      <c r="E188" s="25"/>
      <c r="F188" s="25"/>
      <c r="G188" s="25"/>
      <c r="H188" s="25"/>
      <c r="I188" s="25"/>
      <c r="J188" s="25"/>
      <c r="K188" s="25"/>
    </row>
    <row r="189" spans="1:11" ht="15.75" customHeight="1">
      <c r="A189" s="25"/>
      <c r="B189" s="25"/>
      <c r="D189" s="25"/>
      <c r="E189" s="25"/>
      <c r="F189" s="25"/>
      <c r="G189" s="25"/>
      <c r="H189" s="25"/>
      <c r="I189" s="25"/>
      <c r="J189" s="25"/>
      <c r="K189" s="25"/>
    </row>
    <row r="190" spans="1:11" ht="15.75" customHeight="1">
      <c r="A190" s="25"/>
      <c r="B190" s="25"/>
      <c r="D190" s="25"/>
      <c r="E190" s="25"/>
      <c r="F190" s="25"/>
      <c r="G190" s="25"/>
      <c r="H190" s="25"/>
      <c r="I190" s="25"/>
      <c r="J190" s="25"/>
      <c r="K190" s="25"/>
    </row>
    <row r="191" spans="1:11" ht="15.75" customHeight="1">
      <c r="A191" s="25"/>
      <c r="B191" s="25"/>
      <c r="D191" s="25"/>
      <c r="E191" s="25"/>
      <c r="F191" s="25"/>
      <c r="G191" s="25"/>
      <c r="H191" s="25"/>
      <c r="I191" s="25"/>
      <c r="J191" s="25"/>
      <c r="K191" s="25"/>
    </row>
    <row r="192" spans="1:11" ht="15.75" customHeight="1">
      <c r="A192" s="25"/>
      <c r="B192" s="25"/>
      <c r="D192" s="25"/>
      <c r="E192" s="25"/>
      <c r="F192" s="25"/>
      <c r="G192" s="25"/>
      <c r="H192" s="25"/>
      <c r="I192" s="25"/>
      <c r="J192" s="25"/>
      <c r="K192" s="25"/>
    </row>
    <row r="193" spans="1:11" ht="15.75" customHeight="1">
      <c r="A193" s="25"/>
      <c r="B193" s="25"/>
      <c r="D193" s="25"/>
      <c r="E193" s="25"/>
      <c r="F193" s="25"/>
      <c r="G193" s="25"/>
      <c r="H193" s="25"/>
      <c r="I193" s="25"/>
      <c r="J193" s="25"/>
      <c r="K193" s="25"/>
    </row>
    <row r="194" spans="1:11" ht="15.75" customHeight="1">
      <c r="A194" s="25"/>
      <c r="B194" s="25"/>
      <c r="D194" s="25"/>
      <c r="E194" s="25"/>
      <c r="F194" s="25"/>
      <c r="G194" s="25"/>
      <c r="H194" s="25"/>
      <c r="I194" s="25"/>
      <c r="J194" s="25"/>
      <c r="K194" s="25"/>
    </row>
    <row r="195" spans="1:11" ht="15.75" customHeight="1">
      <c r="A195" s="25"/>
      <c r="B195" s="25"/>
      <c r="D195" s="25"/>
      <c r="E195" s="25"/>
      <c r="F195" s="25"/>
      <c r="G195" s="25"/>
      <c r="H195" s="25"/>
      <c r="I195" s="25"/>
      <c r="J195" s="25"/>
      <c r="K195" s="25"/>
    </row>
    <row r="196" spans="1:11" ht="15.75" customHeight="1">
      <c r="A196" s="25"/>
      <c r="B196" s="25"/>
      <c r="D196" s="25"/>
      <c r="E196" s="25"/>
      <c r="F196" s="25"/>
      <c r="G196" s="25"/>
      <c r="H196" s="25"/>
      <c r="I196" s="25"/>
      <c r="J196" s="25"/>
      <c r="K196" s="25"/>
    </row>
    <row r="197" spans="1:11" ht="15.75" customHeight="1">
      <c r="A197" s="25"/>
      <c r="B197" s="25"/>
      <c r="D197" s="25"/>
      <c r="E197" s="25"/>
      <c r="F197" s="25"/>
      <c r="G197" s="25"/>
      <c r="H197" s="25"/>
      <c r="I197" s="25"/>
      <c r="J197" s="25"/>
      <c r="K197" s="25"/>
    </row>
    <row r="198" spans="1:11" ht="15.75" customHeight="1">
      <c r="A198" s="25"/>
      <c r="B198" s="25"/>
      <c r="D198" s="25"/>
      <c r="E198" s="25"/>
      <c r="F198" s="25"/>
      <c r="G198" s="25"/>
      <c r="H198" s="25"/>
      <c r="I198" s="25"/>
      <c r="J198" s="25"/>
      <c r="K198" s="25"/>
    </row>
    <row r="199" spans="1:11" ht="15.75" customHeight="1">
      <c r="E199" s="25"/>
    </row>
    <row r="200" spans="1:11" ht="15.75" customHeight="1">
      <c r="E200" s="21"/>
    </row>
    <row r="201" spans="1:11" ht="15.75" customHeight="1">
      <c r="E201" s="22"/>
    </row>
    <row r="202" spans="1:11" ht="15.75" customHeight="1">
      <c r="E202" s="22" t="s">
        <v>5</v>
      </c>
    </row>
    <row r="203" spans="1:11" ht="15.75" customHeight="1">
      <c r="E203" s="29"/>
    </row>
    <row r="204" spans="1:11" ht="15.75" customHeight="1">
      <c r="E204" s="29"/>
    </row>
    <row r="205" spans="1:11" ht="15.75" customHeight="1">
      <c r="E205" s="29"/>
    </row>
    <row r="206" spans="1:11" ht="15.75" customHeight="1">
      <c r="E206" s="29"/>
    </row>
    <row r="207" spans="1:11" ht="15.75" customHeight="1">
      <c r="E207" s="29"/>
    </row>
    <row r="208" spans="1:11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5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1"/>
    </row>
    <row r="251" spans="5:5" ht="15.75" customHeight="1">
      <c r="E251" s="22"/>
    </row>
    <row r="252" spans="5:5" ht="15.75" customHeight="1">
      <c r="E252" s="22" t="s">
        <v>5</v>
      </c>
    </row>
    <row r="253" spans="5:5" ht="15.75" customHeight="1">
      <c r="E253" s="29"/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5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1"/>
    </row>
    <row r="301" spans="5:5" ht="15.75" customHeight="1">
      <c r="E301" s="22"/>
    </row>
    <row r="302" spans="5:5" ht="15.75" customHeight="1">
      <c r="E302" s="22" t="s">
        <v>5</v>
      </c>
    </row>
    <row r="303" spans="5:5" ht="15.75" customHeight="1">
      <c r="E303" s="29"/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5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1"/>
    </row>
    <row r="351" spans="5:5" ht="15.75" customHeight="1">
      <c r="E351" s="22"/>
    </row>
    <row r="352" spans="5:5" ht="15.75" customHeight="1">
      <c r="E352" s="22" t="s">
        <v>5</v>
      </c>
    </row>
    <row r="353" spans="5:5" ht="15.75" customHeight="1">
      <c r="E353" s="29"/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5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1"/>
    </row>
    <row r="401" spans="5:5" ht="15.75" customHeight="1">
      <c r="E401" s="22"/>
    </row>
    <row r="402" spans="5:5" ht="15.75" customHeight="1">
      <c r="E402" s="22" t="s">
        <v>5</v>
      </c>
    </row>
    <row r="403" spans="5:5" ht="15.75" customHeight="1">
      <c r="E403" s="29"/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5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1"/>
    </row>
    <row r="451" spans="5:5" ht="15.75" customHeight="1">
      <c r="E451" s="22"/>
    </row>
    <row r="452" spans="5:5" ht="15.75" customHeight="1">
      <c r="E452" s="22" t="s">
        <v>5</v>
      </c>
    </row>
    <row r="453" spans="5:5" ht="15.75" customHeight="1">
      <c r="E453" s="29"/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5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1"/>
    </row>
    <row r="501" spans="5:5" ht="15.75" customHeight="1">
      <c r="E501" s="22"/>
    </row>
    <row r="502" spans="5:5" ht="15.75" customHeight="1">
      <c r="E502" s="22" t="s">
        <v>5</v>
      </c>
    </row>
    <row r="503" spans="5:5" ht="15.75" customHeight="1">
      <c r="E503" s="29"/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5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1"/>
    </row>
    <row r="551" spans="5:5" ht="15.75" customHeight="1">
      <c r="E551" s="22"/>
    </row>
    <row r="552" spans="5:5" ht="15.75" customHeight="1">
      <c r="E552" s="22" t="s">
        <v>5</v>
      </c>
    </row>
    <row r="553" spans="5:5" ht="15.75" customHeight="1">
      <c r="E553" s="29"/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5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1"/>
    </row>
    <row r="601" spans="5:5" ht="15.75" customHeight="1">
      <c r="E601" s="22"/>
    </row>
    <row r="602" spans="5:5" ht="15.75" customHeight="1">
      <c r="E602" s="22" t="s">
        <v>5</v>
      </c>
    </row>
    <row r="603" spans="5:5" ht="15.75" customHeight="1">
      <c r="E603" s="29"/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5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1"/>
    </row>
    <row r="651" spans="5:5" ht="15.75" customHeight="1">
      <c r="E651" s="22"/>
    </row>
    <row r="652" spans="5:5" ht="15.75" customHeight="1">
      <c r="E652" s="22" t="s">
        <v>5</v>
      </c>
    </row>
    <row r="653" spans="5:5" ht="15.75" customHeight="1">
      <c r="E653" s="29"/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5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1"/>
    </row>
    <row r="701" spans="5:5" ht="15.75" customHeight="1">
      <c r="E701" s="22"/>
    </row>
    <row r="702" spans="5:5" ht="15.75" customHeight="1">
      <c r="E702" s="22" t="s">
        <v>5</v>
      </c>
    </row>
    <row r="703" spans="5:5" ht="15.75" customHeight="1">
      <c r="E703" s="29"/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5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1"/>
    </row>
    <row r="751" spans="5:5" ht="15.75" customHeight="1">
      <c r="E751" s="22"/>
    </row>
    <row r="752" spans="5:5" ht="15.75" customHeight="1">
      <c r="E752" s="22" t="s">
        <v>5</v>
      </c>
    </row>
    <row r="753" spans="5:5" ht="15.75" customHeight="1">
      <c r="E753" s="29"/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5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1"/>
    </row>
    <row r="801" spans="5:5" ht="15.75" customHeight="1">
      <c r="E801" s="22"/>
    </row>
    <row r="802" spans="5:5" ht="15.75" customHeight="1">
      <c r="E802" s="22" t="s">
        <v>5</v>
      </c>
    </row>
    <row r="803" spans="5:5" ht="15.75" customHeight="1">
      <c r="E803" s="29"/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5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1"/>
    </row>
    <row r="851" spans="5:5" ht="15.75" customHeight="1">
      <c r="E851" s="22"/>
    </row>
    <row r="852" spans="5:5" ht="15.75" customHeight="1">
      <c r="E852" s="22" t="s">
        <v>5</v>
      </c>
    </row>
    <row r="853" spans="5:5" ht="15.75" customHeight="1">
      <c r="E853" s="29"/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5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1"/>
    </row>
    <row r="901" spans="5:5" ht="15.75" customHeight="1">
      <c r="E901" s="22"/>
    </row>
    <row r="902" spans="5:5" ht="15.75" customHeight="1">
      <c r="E902" s="22" t="s">
        <v>5</v>
      </c>
    </row>
    <row r="903" spans="5:5" ht="15.75" customHeight="1">
      <c r="E903" s="29"/>
    </row>
    <row r="904" spans="5:5" ht="15.75" customHeight="1">
      <c r="E904" s="29"/>
    </row>
    <row r="905" spans="5:5" ht="15.75" customHeight="1">
      <c r="E905" s="29"/>
    </row>
    <row r="906" spans="5:5" ht="15.75" customHeight="1">
      <c r="E906" s="29"/>
    </row>
    <row r="907" spans="5:5" ht="15.75" customHeight="1">
      <c r="E907" s="29"/>
    </row>
    <row r="908" spans="5:5" ht="15.75" customHeight="1">
      <c r="E908" s="29"/>
    </row>
    <row r="909" spans="5:5" ht="15.75" customHeight="1">
      <c r="E909" s="29"/>
    </row>
    <row r="910" spans="5:5" ht="15.75" customHeight="1">
      <c r="E910" s="29"/>
    </row>
    <row r="911" spans="5:5" ht="15.75" customHeight="1">
      <c r="E911" s="29"/>
    </row>
    <row r="912" spans="5:5" ht="15.75" customHeight="1">
      <c r="E912" s="29"/>
    </row>
    <row r="913" spans="5:5" ht="15.75" customHeight="1">
      <c r="E913" s="29"/>
    </row>
    <row r="914" spans="5:5" ht="15.75" customHeight="1">
      <c r="E914" s="29"/>
    </row>
    <row r="915" spans="5:5" ht="15.75" customHeight="1">
      <c r="E915" s="29"/>
    </row>
    <row r="916" spans="5:5" ht="15.75" customHeight="1">
      <c r="E916" s="29"/>
    </row>
    <row r="917" spans="5:5" ht="15.75" customHeight="1">
      <c r="E917" s="29"/>
    </row>
    <row r="918" spans="5:5" ht="15.75" customHeight="1">
      <c r="E918" s="29"/>
    </row>
    <row r="919" spans="5:5" ht="15.75" customHeight="1">
      <c r="E919" s="29"/>
    </row>
    <row r="920" spans="5:5" ht="15.75" customHeight="1">
      <c r="E920" s="29"/>
    </row>
    <row r="921" spans="5:5" ht="15.75" customHeight="1">
      <c r="E921" s="29"/>
    </row>
    <row r="922" spans="5:5" ht="15.75" customHeight="1">
      <c r="E922" s="29"/>
    </row>
    <row r="923" spans="5:5" ht="15.75" customHeight="1">
      <c r="E923" s="29"/>
    </row>
    <row r="924" spans="5:5" ht="15.75" customHeight="1">
      <c r="E924" s="29"/>
    </row>
    <row r="925" spans="5:5" ht="15.75" customHeight="1">
      <c r="E925" s="29"/>
    </row>
    <row r="926" spans="5:5" ht="15.75" customHeight="1">
      <c r="E926" s="29"/>
    </row>
    <row r="927" spans="5:5" ht="15.75" customHeight="1">
      <c r="E927" s="29"/>
    </row>
    <row r="928" spans="5:5" ht="15.75" customHeight="1">
      <c r="E928" s="29"/>
    </row>
    <row r="929" spans="5:5" ht="15.75" customHeight="1">
      <c r="E929" s="29"/>
    </row>
    <row r="930" spans="5:5" ht="15.75" customHeight="1">
      <c r="E930" s="25"/>
    </row>
    <row r="931" spans="5:5" ht="15.75" customHeight="1">
      <c r="E931" s="25"/>
    </row>
    <row r="932" spans="5:5" ht="15.75" customHeight="1">
      <c r="E932" s="25"/>
    </row>
    <row r="933" spans="5:5" ht="15.75" customHeight="1">
      <c r="E933" s="25"/>
    </row>
    <row r="934" spans="5:5" ht="15.75" customHeight="1">
      <c r="E934" s="25"/>
    </row>
    <row r="935" spans="5:5" ht="15.75" customHeight="1">
      <c r="E935" s="25"/>
    </row>
    <row r="936" spans="5:5" ht="15.75" customHeight="1">
      <c r="E936" s="25"/>
    </row>
    <row r="937" spans="5:5" ht="15.75" customHeight="1">
      <c r="E937" s="25"/>
    </row>
    <row r="938" spans="5:5" ht="15.75" customHeight="1">
      <c r="E938" s="25"/>
    </row>
    <row r="939" spans="5:5" ht="15.75" customHeight="1">
      <c r="E939" s="25"/>
    </row>
    <row r="940" spans="5:5" ht="15.75" customHeight="1">
      <c r="E940" s="25"/>
    </row>
    <row r="941" spans="5:5" ht="15.75" customHeight="1">
      <c r="E941" s="25"/>
    </row>
    <row r="942" spans="5:5" ht="15.75" customHeight="1">
      <c r="E942" s="25"/>
    </row>
    <row r="943" spans="5:5" ht="15.75" customHeight="1">
      <c r="E943" s="25"/>
    </row>
    <row r="944" spans="5:5" ht="15.75" customHeight="1">
      <c r="E944" s="25"/>
    </row>
    <row r="945" spans="5:5" ht="15.75" customHeight="1">
      <c r="E945" s="25"/>
    </row>
    <row r="946" spans="5:5" ht="15.75" customHeight="1">
      <c r="E946" s="25"/>
    </row>
    <row r="947" spans="5:5" ht="15.75" customHeight="1">
      <c r="E947" s="25"/>
    </row>
    <row r="948" spans="5:5" ht="15.75" customHeight="1">
      <c r="E948" s="25"/>
    </row>
    <row r="949" spans="5:5" ht="15.75" customHeight="1">
      <c r="E949" s="25"/>
    </row>
    <row r="950" spans="5:5" ht="15.75" customHeight="1"/>
    <row r="951" spans="5:5" ht="15.75" customHeight="1"/>
    <row r="952" spans="5:5" ht="15.75" customHeight="1"/>
    <row r="953" spans="5:5" ht="15.75" customHeight="1"/>
    <row r="954" spans="5:5" ht="15.75" customHeight="1"/>
    <row r="955" spans="5:5" ht="15.75" customHeight="1"/>
    <row r="956" spans="5:5" ht="15.75" customHeight="1"/>
    <row r="957" spans="5:5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300-000000000000}">
          <x14:formula1>
            <xm:f>códigos!$O:$O</xm:f>
          </x14:formula1>
          <xm:sqref>G4:G30</xm:sqref>
        </x14:dataValidation>
        <x14:dataValidation type="list" allowBlank="1" showErrorMessage="1" xr:uid="{00000000-0002-0000-0300-000001000000}">
          <x14:formula1>
            <xm:f>códigos!$E:$E</xm:f>
          </x14:formula1>
          <xm:sqref>E4:E27 E53:E79 E103:E129 E153:E179 E203:E229 E253:E279 E303:E329 E353:E379 E403:E429 E453:E479 E503:E529 E553:E579 E603:E629 E653:E679 E703:E729 E753:E779 E803:E829 E853:E879 E903:E929</xm:sqref>
        </x14:dataValidation>
        <x14:dataValidation type="list" allowBlank="1" showErrorMessage="1" xr:uid="{00000000-0002-0000-0300-000002000000}">
          <x14:formula1>
            <xm:f>códigos!$B:$B</xm:f>
          </x14:formula1>
          <xm:sqref>C4:C30</xm:sqref>
        </x14:dataValidation>
        <x14:dataValidation type="list" allowBlank="1" showErrorMessage="1" xr:uid="{00000000-0002-0000-0300-000005000000}">
          <x14:formula1>
            <xm:f>códigos!$E:$F</xm:f>
          </x14:formula1>
          <xm:sqref>E28:E30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93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2" customWidth="1"/>
    <col min="2" max="2" width="25.5" customWidth="1"/>
    <col min="3" max="3" width="20.5" customWidth="1"/>
    <col min="4" max="4" width="20" customWidth="1"/>
    <col min="5" max="5" width="45.33203125" customWidth="1"/>
    <col min="6" max="6" width="51.6640625" customWidth="1"/>
    <col min="7" max="7" width="24.83203125" customWidth="1"/>
    <col min="8" max="8" width="11.5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47"/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4</v>
      </c>
      <c r="B4" s="26" t="str">
        <f ca="1">IF($E4="","",VLOOKUP(D4,códigos!$F:$G,2,FALSE))</f>
        <v>Iván Sánchez</v>
      </c>
      <c r="C4" s="27" t="s">
        <v>89</v>
      </c>
      <c r="D4" s="28" t="str">
        <f ca="1">IF(E4="","",VLOOKUP($E4,códigos!$E:$F,2,FALSE))</f>
        <v>ISL58</v>
      </c>
      <c r="E4" s="29" t="s">
        <v>111</v>
      </c>
      <c r="F4" s="25" t="s">
        <v>137</v>
      </c>
      <c r="G4" s="29" t="s">
        <v>33</v>
      </c>
      <c r="H4" s="30">
        <v>46119</v>
      </c>
      <c r="I4" s="31">
        <v>46118</v>
      </c>
      <c r="J4" s="29">
        <v>-1400.42</v>
      </c>
      <c r="K4" s="26" t="str">
        <f>IF($C4="","",VLOOKUP(C4,códigos!$B:$C,2,FALSE))</f>
        <v>AUDICOST, S.L.U</v>
      </c>
      <c r="M4" s="32"/>
      <c r="N4" s="40" t="str">
        <f t="array" aca="1" ref="N4" ca="1">INDEX(códigos!E:E,MATCH(D4,códigos!F:F,0))</f>
        <v>Juan Javier Álvarez López</v>
      </c>
    </row>
    <row r="5" spans="1:30" ht="15.75" customHeight="1">
      <c r="A5" s="25">
        <v>4</v>
      </c>
      <c r="B5" s="26" t="str">
        <f ca="1">IF($E5="","",VLOOKUP(D5,códigos!$F:$G,2,FALSE))</f>
        <v>Luis Alberto Rodríguez</v>
      </c>
      <c r="C5" s="27" t="s">
        <v>34</v>
      </c>
      <c r="D5" s="28" t="str">
        <f ca="1">IF(E5="","",VLOOKUP($E5,códigos!$E:$F,2,FALSE))</f>
        <v>LAA08</v>
      </c>
      <c r="E5" s="29" t="s">
        <v>35</v>
      </c>
      <c r="F5" s="29" t="s">
        <v>138</v>
      </c>
      <c r="G5" s="29" t="s">
        <v>33</v>
      </c>
      <c r="H5" s="31">
        <v>46120</v>
      </c>
      <c r="I5" s="31">
        <v>46120</v>
      </c>
      <c r="J5" s="29">
        <v>-899</v>
      </c>
      <c r="K5" s="26" t="str">
        <f>IF($C5="","",VLOOKUP(C5,códigos!$B:$C,2,FALSE))</f>
        <v>OIR VITAL CENTROS AUDITIVOS </v>
      </c>
      <c r="L5" s="27"/>
      <c r="M5" s="33"/>
      <c r="N5" s="40" t="str">
        <f t="array" aca="1" ref="N5" ca="1">INDEX(códigos!E:E,MATCH(D5,códigos!F:F,0))</f>
        <v>David Castro Gutiérrez de Agüero</v>
      </c>
    </row>
    <row r="6" spans="1:30" ht="15.75" customHeight="1">
      <c r="A6" s="25">
        <v>4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40" t="e">
        <f t="array" aca="1" ref="N6" ca="1">INDEX(códigos!E:E,MATCH(D6,códigos!F:F,0))</f>
        <v>#N/A</v>
      </c>
    </row>
    <row r="7" spans="1:30" ht="15.75" customHeight="1">
      <c r="A7" s="25">
        <v>4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40" t="e">
        <f t="array" aca="1" ref="N7" ca="1">INDEX(códigos!E:E,MATCH(D7,códigos!F:F,0))</f>
        <v>#N/A</v>
      </c>
    </row>
    <row r="8" spans="1:30" ht="15.75" customHeight="1">
      <c r="A8" s="25">
        <v>4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40" t="e">
        <f t="array" aca="1" ref="N8" ca="1">INDEX(códigos!E:E,MATCH(D8,códigos!F:F,0))</f>
        <v>#N/A</v>
      </c>
    </row>
    <row r="9" spans="1:30" ht="15.75" customHeight="1">
      <c r="A9" s="25">
        <v>4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40" t="e">
        <f t="array" aca="1" ref="N9" ca="1">INDEX(códigos!E:E,MATCH(D9,códigos!F:F,0))</f>
        <v>#N/A</v>
      </c>
    </row>
    <row r="10" spans="1:30" ht="15.75" customHeight="1">
      <c r="A10" s="25">
        <v>4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  <c r="N10" s="40" t="e">
        <f t="array" aca="1" ref="N10" ca="1">INDEX(códigos!E:E,MATCH(D10,códigos!F:F,0))</f>
        <v>#N/A</v>
      </c>
    </row>
    <row r="11" spans="1:30" ht="15.75" customHeight="1">
      <c r="A11" s="25">
        <v>4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40" t="e">
        <f t="array" aca="1" ref="N11" ca="1">INDEX(códigos!E:E,MATCH(D11,códigos!F:F,0))</f>
        <v>#N/A</v>
      </c>
    </row>
    <row r="12" spans="1:30" ht="15.75" customHeight="1">
      <c r="A12" s="25">
        <v>4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  <c r="N12" s="40" t="e">
        <f t="array" aca="1" ref="N12" ca="1">INDEX(códigos!E:E,MATCH(D12,códigos!F:F,0))</f>
        <v>#N/A</v>
      </c>
    </row>
    <row r="13" spans="1:30" ht="15.75" customHeight="1">
      <c r="A13" s="25">
        <v>4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40" t="e">
        <f t="array" aca="1" ref="N13" ca="1">INDEX(códigos!E:E,MATCH(D13,códigos!F:F,0))</f>
        <v>#N/A</v>
      </c>
    </row>
    <row r="14" spans="1:30" ht="15.75" customHeight="1">
      <c r="A14" s="25">
        <v>4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40" t="e">
        <f t="array" aca="1" ref="N14" ca="1">INDEX(códigos!E:E,MATCH(D14,códigos!F:F,0))</f>
        <v>#N/A</v>
      </c>
    </row>
    <row r="15" spans="1:30" ht="15.75" customHeight="1">
      <c r="A15" s="25">
        <v>4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40" t="e">
        <f t="array" aca="1" ref="N15" ca="1">INDEX(códigos!E:E,MATCH(D15,códigos!F:F,0))</f>
        <v>#N/A</v>
      </c>
    </row>
    <row r="16" spans="1:30" ht="15.75" customHeight="1">
      <c r="A16" s="25">
        <v>4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  <c r="N16" s="40" t="e">
        <f t="array" aca="1" ref="N16" ca="1">INDEX(códigos!E:E,MATCH(D16,códigos!F:F,0))</f>
        <v>#N/A</v>
      </c>
    </row>
    <row r="17" spans="1:14" ht="15.75" customHeight="1">
      <c r="A17" s="25">
        <v>4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  <c r="N17" s="40" t="e">
        <f t="array" aca="1" ref="N17" ca="1">INDEX(códigos!E:E,MATCH(D17,códigos!F:F,0))</f>
        <v>#N/A</v>
      </c>
    </row>
    <row r="18" spans="1:14" ht="15.75" customHeight="1">
      <c r="A18" s="25">
        <v>4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  <c r="N18" s="40" t="e">
        <f t="array" aca="1" ref="N18" ca="1">INDEX(códigos!E:E,MATCH(D18,códigos!F:F,0))</f>
        <v>#N/A</v>
      </c>
    </row>
    <row r="19" spans="1:14" ht="15.75" customHeight="1">
      <c r="A19" s="25">
        <v>4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  <c r="N19" s="40" t="e">
        <f t="array" aca="1" ref="N19" ca="1">INDEX(códigos!E:E,MATCH(D19,códigos!F:F,0))</f>
        <v>#N/A</v>
      </c>
    </row>
    <row r="20" spans="1:14" ht="15.75" customHeight="1">
      <c r="A20" s="25">
        <v>4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  <c r="N20" s="40" t="e">
        <f t="array" aca="1" ref="N20" ca="1">INDEX(códigos!E:E,MATCH(D20,códigos!F:F,0))</f>
        <v>#N/A</v>
      </c>
    </row>
    <row r="21" spans="1:14" ht="15.75" customHeight="1">
      <c r="A21" s="25">
        <v>4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  <c r="N21" s="40" t="e">
        <f t="array" aca="1" ref="N21" ca="1">INDEX(códigos!E:E,MATCH(D21,códigos!F:F,0))</f>
        <v>#N/A</v>
      </c>
    </row>
    <row r="22" spans="1:14" ht="15.75" customHeight="1">
      <c r="A22" s="25">
        <v>4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  <c r="N22" s="40" t="e">
        <f t="array" aca="1" ref="N22" ca="1">INDEX(códigos!E:E,MATCH(D22,códigos!F:F,0))</f>
        <v>#N/A</v>
      </c>
    </row>
    <row r="23" spans="1:14" ht="15.75" customHeight="1">
      <c r="A23" s="25">
        <v>4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  <c r="N23" s="40" t="e">
        <f t="array" aca="1" ref="N23" ca="1">INDEX(códigos!E:E,MATCH(D23,códigos!F:F,0))</f>
        <v>#N/A</v>
      </c>
    </row>
    <row r="24" spans="1:14" ht="15.75" customHeight="1">
      <c r="A24" s="25">
        <v>4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40" t="e">
        <f t="array" aca="1" ref="N24" ca="1">INDEX(códigos!E:E,MATCH(D24,códigos!F:F,0))</f>
        <v>#N/A</v>
      </c>
    </row>
    <row r="25" spans="1:14" ht="15.75" customHeight="1">
      <c r="A25" s="25">
        <v>4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40" t="e">
        <f t="array" aca="1" ref="N25" ca="1">INDEX(códigos!E:E,MATCH(D25,códigos!F:F,0))</f>
        <v>#N/A</v>
      </c>
    </row>
    <row r="26" spans="1:14" ht="15.75" customHeight="1">
      <c r="A26" s="25">
        <v>4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  <c r="N26" s="40" t="e">
        <f t="array" aca="1" ref="N26" ca="1">INDEX(códigos!E:E,MATCH(D26,códigos!F:F,0))</f>
        <v>#N/A</v>
      </c>
    </row>
    <row r="27" spans="1:14" ht="15.75" customHeight="1">
      <c r="A27" s="25">
        <v>4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  <c r="N27" s="40" t="e">
        <f t="array" aca="1" ref="N27" ca="1">INDEX(códigos!E:E,MATCH(D27,códigos!F:F,0))</f>
        <v>#N/A</v>
      </c>
    </row>
    <row r="28" spans="1:14" ht="15.75" customHeight="1">
      <c r="A28" s="25">
        <v>4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  <c r="N28" s="40" t="e">
        <f t="array" aca="1" ref="N28" ca="1">INDEX(códigos!E:E,MATCH(D28,códigos!F:F,0))</f>
        <v>#N/A</v>
      </c>
    </row>
    <row r="29" spans="1:14" ht="15.75" customHeight="1">
      <c r="A29" s="25">
        <v>4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  <c r="N29" s="40" t="e">
        <f t="array" aca="1" ref="N29" ca="1">INDEX(códigos!E:E,MATCH(D29,códigos!F:F,0))</f>
        <v>#N/A</v>
      </c>
    </row>
    <row r="30" spans="1:14" ht="15.75" customHeight="1">
      <c r="A30" s="25">
        <v>4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</row>
    <row r="31" spans="1:14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14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</row>
    <row r="178" spans="1:11" ht="15.75" customHeight="1">
      <c r="E178" s="29"/>
    </row>
    <row r="179" spans="1:11" ht="15.75" customHeight="1">
      <c r="E179" s="29"/>
    </row>
    <row r="180" spans="1:11" ht="15.75" customHeight="1">
      <c r="E180" s="29"/>
    </row>
    <row r="181" spans="1:11" ht="15.75" customHeight="1">
      <c r="E181" s="25"/>
    </row>
    <row r="182" spans="1:11" ht="15.75" customHeight="1">
      <c r="E182" s="25"/>
    </row>
    <row r="183" spans="1:11" ht="15.75" customHeight="1">
      <c r="E183" s="25"/>
    </row>
    <row r="184" spans="1:11" ht="15.75" customHeight="1">
      <c r="E184" s="25"/>
    </row>
    <row r="185" spans="1:11" ht="15.75" customHeight="1">
      <c r="E185" s="25"/>
    </row>
    <row r="186" spans="1:11" ht="15.75" customHeight="1">
      <c r="E186" s="25"/>
    </row>
    <row r="187" spans="1:11" ht="15.75" customHeight="1">
      <c r="E187" s="25"/>
    </row>
    <row r="188" spans="1:11" ht="15.75" customHeight="1">
      <c r="E188" s="25"/>
    </row>
    <row r="189" spans="1:11" ht="15.75" customHeight="1">
      <c r="E189" s="25"/>
    </row>
    <row r="190" spans="1:11" ht="15.75" customHeight="1">
      <c r="E190" s="25"/>
    </row>
    <row r="191" spans="1:11" ht="15.75" customHeight="1">
      <c r="E191" s="25"/>
    </row>
    <row r="192" spans="1:11" ht="15.75" customHeight="1">
      <c r="E192" s="25"/>
    </row>
    <row r="193" spans="5:5" ht="15.75" customHeight="1">
      <c r="E193" s="25"/>
    </row>
    <row r="194" spans="5:5" ht="15.75" customHeight="1">
      <c r="E194" s="25"/>
    </row>
    <row r="195" spans="5:5" ht="15.75" customHeight="1">
      <c r="E195" s="25"/>
    </row>
    <row r="196" spans="5:5" ht="15.75" customHeight="1">
      <c r="E196" s="25"/>
    </row>
    <row r="197" spans="5:5" ht="15.75" customHeight="1">
      <c r="E197" s="25"/>
    </row>
    <row r="198" spans="5:5" ht="15.75" customHeight="1">
      <c r="E198" s="25"/>
    </row>
    <row r="199" spans="5:5" ht="15.75" customHeight="1">
      <c r="E199" s="25"/>
    </row>
    <row r="200" spans="5:5" ht="15.75" customHeight="1">
      <c r="E200" s="25"/>
    </row>
    <row r="201" spans="5:5" ht="15.75" customHeight="1">
      <c r="E201" s="21"/>
    </row>
    <row r="202" spans="5:5" ht="15.75" customHeight="1">
      <c r="E202" s="22"/>
    </row>
    <row r="203" spans="5:5" ht="15.75" customHeight="1">
      <c r="E203" s="22" t="s">
        <v>5</v>
      </c>
    </row>
    <row r="204" spans="5:5" ht="15.75" customHeight="1">
      <c r="E204" s="29"/>
    </row>
    <row r="205" spans="5:5" ht="15.75" customHeight="1">
      <c r="E205" s="29"/>
    </row>
    <row r="206" spans="5:5" ht="15.75" customHeight="1">
      <c r="E206" s="29"/>
    </row>
    <row r="207" spans="5:5" ht="15.75" customHeight="1">
      <c r="E207" s="29"/>
    </row>
    <row r="208" spans="5:5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9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5"/>
    </row>
    <row r="251" spans="5:5" ht="15.75" customHeight="1">
      <c r="E251" s="21"/>
    </row>
    <row r="252" spans="5:5" ht="15.75" customHeight="1">
      <c r="E252" s="22"/>
    </row>
    <row r="253" spans="5:5" ht="15.75" customHeight="1">
      <c r="E253" s="22" t="s">
        <v>5</v>
      </c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9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5"/>
    </row>
    <row r="301" spans="5:5" ht="15.75" customHeight="1">
      <c r="E301" s="21"/>
    </row>
    <row r="302" spans="5:5" ht="15.75" customHeight="1">
      <c r="E302" s="22"/>
    </row>
    <row r="303" spans="5:5" ht="15.75" customHeight="1">
      <c r="E303" s="22" t="s">
        <v>5</v>
      </c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9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5"/>
    </row>
    <row r="351" spans="5:5" ht="15.75" customHeight="1">
      <c r="E351" s="21"/>
    </row>
    <row r="352" spans="5:5" ht="15.75" customHeight="1">
      <c r="E352" s="22"/>
    </row>
    <row r="353" spans="5:5" ht="15.75" customHeight="1">
      <c r="E353" s="22" t="s">
        <v>5</v>
      </c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9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5"/>
    </row>
    <row r="401" spans="5:5" ht="15.75" customHeight="1">
      <c r="E401" s="21"/>
    </row>
    <row r="402" spans="5:5" ht="15.75" customHeight="1">
      <c r="E402" s="22"/>
    </row>
    <row r="403" spans="5:5" ht="15.75" customHeight="1">
      <c r="E403" s="22" t="s">
        <v>5</v>
      </c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9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5"/>
    </row>
    <row r="451" spans="5:5" ht="15.75" customHeight="1">
      <c r="E451" s="21"/>
    </row>
    <row r="452" spans="5:5" ht="15.75" customHeight="1">
      <c r="E452" s="22"/>
    </row>
    <row r="453" spans="5:5" ht="15.75" customHeight="1">
      <c r="E453" s="22" t="s">
        <v>5</v>
      </c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9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5"/>
    </row>
    <row r="501" spans="5:5" ht="15.75" customHeight="1">
      <c r="E501" s="21"/>
    </row>
    <row r="502" spans="5:5" ht="15.75" customHeight="1">
      <c r="E502" s="22"/>
    </row>
    <row r="503" spans="5:5" ht="15.75" customHeight="1">
      <c r="E503" s="22" t="s">
        <v>5</v>
      </c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9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5"/>
    </row>
    <row r="551" spans="5:5" ht="15.75" customHeight="1">
      <c r="E551" s="21"/>
    </row>
    <row r="552" spans="5:5" ht="15.75" customHeight="1">
      <c r="E552" s="22"/>
    </row>
    <row r="553" spans="5:5" ht="15.75" customHeight="1">
      <c r="E553" s="22" t="s">
        <v>5</v>
      </c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9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5"/>
    </row>
    <row r="601" spans="5:5" ht="15.75" customHeight="1">
      <c r="E601" s="21"/>
    </row>
    <row r="602" spans="5:5" ht="15.75" customHeight="1">
      <c r="E602" s="22"/>
    </row>
    <row r="603" spans="5:5" ht="15.75" customHeight="1">
      <c r="E603" s="22" t="s">
        <v>5</v>
      </c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9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5"/>
    </row>
    <row r="651" spans="5:5" ht="15.75" customHeight="1">
      <c r="E651" s="21"/>
    </row>
    <row r="652" spans="5:5" ht="15.75" customHeight="1">
      <c r="E652" s="22"/>
    </row>
    <row r="653" spans="5:5" ht="15.75" customHeight="1">
      <c r="E653" s="22" t="s">
        <v>5</v>
      </c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9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5"/>
    </row>
    <row r="701" spans="5:5" ht="15.75" customHeight="1">
      <c r="E701" s="21"/>
    </row>
    <row r="702" spans="5:5" ht="15.75" customHeight="1">
      <c r="E702" s="22"/>
    </row>
    <row r="703" spans="5:5" ht="15.75" customHeight="1">
      <c r="E703" s="22" t="s">
        <v>5</v>
      </c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9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5"/>
    </row>
    <row r="751" spans="5:5" ht="15.75" customHeight="1">
      <c r="E751" s="21"/>
    </row>
    <row r="752" spans="5:5" ht="15.75" customHeight="1">
      <c r="E752" s="22"/>
    </row>
    <row r="753" spans="5:5" ht="15.75" customHeight="1">
      <c r="E753" s="22" t="s">
        <v>5</v>
      </c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9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5"/>
    </row>
    <row r="801" spans="5:5" ht="15.75" customHeight="1">
      <c r="E801" s="21"/>
    </row>
    <row r="802" spans="5:5" ht="15.75" customHeight="1">
      <c r="E802" s="22"/>
    </row>
    <row r="803" spans="5:5" ht="15.75" customHeight="1">
      <c r="E803" s="22" t="s">
        <v>5</v>
      </c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9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5"/>
    </row>
    <row r="851" spans="5:5" ht="15.75" customHeight="1">
      <c r="E851" s="21"/>
    </row>
    <row r="852" spans="5:5" ht="15.75" customHeight="1">
      <c r="E852" s="22"/>
    </row>
    <row r="853" spans="5:5" ht="15.75" customHeight="1">
      <c r="E853" s="22" t="s">
        <v>5</v>
      </c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9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5"/>
    </row>
    <row r="901" spans="5:5" ht="15.75" customHeight="1"/>
    <row r="902" spans="5:5" ht="15.75" customHeight="1"/>
    <row r="903" spans="5:5" ht="15.75" customHeight="1"/>
    <row r="904" spans="5:5" ht="15.75" customHeight="1"/>
    <row r="905" spans="5:5" ht="15.75" customHeight="1"/>
    <row r="906" spans="5:5" ht="15.75" customHeight="1"/>
    <row r="907" spans="5:5" ht="15.75" customHeight="1"/>
    <row r="908" spans="5:5" ht="15.75" customHeight="1"/>
    <row r="909" spans="5:5" ht="15.75" customHeight="1"/>
    <row r="910" spans="5:5" ht="15.75" customHeight="1"/>
    <row r="911" spans="5:5" ht="15.75" customHeight="1"/>
    <row r="912" spans="5:5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</xm:sqref>
        </x14:dataValidation>
        <x14:dataValidation type="list" allowBlank="1" showErrorMessage="1" xr:uid="{00000000-0002-0000-04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4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953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2" customWidth="1"/>
    <col min="2" max="2" width="27.1640625" customWidth="1"/>
    <col min="3" max="3" width="20.5" customWidth="1"/>
    <col min="4" max="4" width="20" customWidth="1"/>
    <col min="5" max="5" width="45.33203125" customWidth="1"/>
    <col min="6" max="6" width="51.6640625" customWidth="1"/>
    <col min="7" max="7" width="24.33203125" customWidth="1"/>
    <col min="8" max="8" width="11.5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47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5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  <c r="N4" s="40" t="e">
        <f t="array" aca="1" ref="N4" ca="1">INDEX(códigos!E:E,MATCH(D4,códigos!F:F,0))</f>
        <v>#N/A</v>
      </c>
    </row>
    <row r="5" spans="1:30" ht="15.75" customHeight="1">
      <c r="A5" s="25">
        <v>5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40" t="e">
        <f t="array" aca="1" ref="N5" ca="1">INDEX(códigos!E:E,MATCH(D5,códigos!F:F,0))</f>
        <v>#N/A</v>
      </c>
    </row>
    <row r="6" spans="1:30" ht="15.75" customHeight="1">
      <c r="A6" s="25">
        <v>5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40" t="e">
        <f t="array" aca="1" ref="N6" ca="1">INDEX(códigos!E:E,MATCH(D6,códigos!F:F,0))</f>
        <v>#N/A</v>
      </c>
    </row>
    <row r="7" spans="1:30" ht="15.75" customHeight="1">
      <c r="A7" s="25">
        <v>5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40" t="e">
        <f t="array" aca="1" ref="N7" ca="1">INDEX(códigos!E:E,MATCH(D7,códigos!F:F,0))</f>
        <v>#N/A</v>
      </c>
    </row>
    <row r="8" spans="1:30" ht="15.75" customHeight="1">
      <c r="A8" s="25">
        <v>5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40" t="e">
        <f t="array" aca="1" ref="N8" ca="1">INDEX(códigos!E:E,MATCH(D8,códigos!F:F,0))</f>
        <v>#N/A</v>
      </c>
    </row>
    <row r="9" spans="1:30" ht="15.75" customHeight="1">
      <c r="A9" s="25">
        <v>5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40" t="e">
        <f t="array" aca="1" ref="N9" ca="1">INDEX(códigos!E:E,MATCH(D9,códigos!F:F,0))</f>
        <v>#N/A</v>
      </c>
    </row>
    <row r="10" spans="1:30" ht="15.75" customHeight="1">
      <c r="A10" s="25">
        <v>5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  <c r="N10" s="40" t="e">
        <f t="array" aca="1" ref="N10" ca="1">INDEX(códigos!E:E,MATCH(D10,códigos!F:F,0))</f>
        <v>#N/A</v>
      </c>
    </row>
    <row r="11" spans="1:30" ht="15.75" customHeight="1">
      <c r="A11" s="25">
        <v>5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40" t="e">
        <f t="array" aca="1" ref="N11" ca="1">INDEX(códigos!E:E,MATCH(D11,códigos!F:F,0))</f>
        <v>#N/A</v>
      </c>
    </row>
    <row r="12" spans="1:30" ht="15.75" customHeight="1">
      <c r="A12" s="25">
        <v>5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  <c r="N12" s="40" t="e">
        <f t="array" aca="1" ref="N12" ca="1">INDEX(códigos!E:E,MATCH(D12,códigos!F:F,0))</f>
        <v>#N/A</v>
      </c>
    </row>
    <row r="13" spans="1:30" ht="15.75" customHeight="1">
      <c r="A13" s="25">
        <v>5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40" t="e">
        <f t="array" aca="1" ref="N13" ca="1">INDEX(códigos!E:E,MATCH(D13,códigos!F:F,0))</f>
        <v>#N/A</v>
      </c>
    </row>
    <row r="14" spans="1:30" ht="15.75" customHeight="1">
      <c r="A14" s="25">
        <v>5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40" t="e">
        <f t="array" aca="1" ref="N14" ca="1">INDEX(códigos!E:E,MATCH(D14,códigos!F:F,0))</f>
        <v>#N/A</v>
      </c>
    </row>
    <row r="15" spans="1:30" ht="15.75" customHeight="1">
      <c r="A15" s="25">
        <v>5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40" t="e">
        <f t="array" aca="1" ref="N15" ca="1">INDEX(códigos!E:E,MATCH(D15,códigos!F:F,0))</f>
        <v>#N/A</v>
      </c>
    </row>
    <row r="16" spans="1:30" ht="15.75" customHeight="1">
      <c r="A16" s="25">
        <v>5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  <c r="N16" s="40" t="e">
        <f t="array" aca="1" ref="N16" ca="1">INDEX(códigos!E:E,MATCH(D16,códigos!F:F,0))</f>
        <v>#N/A</v>
      </c>
    </row>
    <row r="17" spans="1:14" ht="15.75" customHeight="1">
      <c r="A17" s="25">
        <v>5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  <c r="N17" s="40" t="e">
        <f t="array" aca="1" ref="N17" ca="1">INDEX(códigos!E:E,MATCH(D17,códigos!F:F,0))</f>
        <v>#N/A</v>
      </c>
    </row>
    <row r="18" spans="1:14" ht="15.75" customHeight="1">
      <c r="A18" s="25">
        <v>5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  <c r="N18" s="40" t="e">
        <f t="array" aca="1" ref="N18" ca="1">INDEX(códigos!E:E,MATCH(D18,códigos!F:F,0))</f>
        <v>#N/A</v>
      </c>
    </row>
    <row r="19" spans="1:14" ht="15.75" customHeight="1">
      <c r="A19" s="25">
        <v>5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  <c r="N19" s="40" t="e">
        <f t="array" aca="1" ref="N19" ca="1">INDEX(códigos!E:E,MATCH(D19,códigos!F:F,0))</f>
        <v>#N/A</v>
      </c>
    </row>
    <row r="20" spans="1:14" ht="15.75" customHeight="1">
      <c r="A20" s="25">
        <v>5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  <c r="N20" s="40" t="e">
        <f t="array" aca="1" ref="N20" ca="1">INDEX(códigos!E:E,MATCH(D20,códigos!F:F,0))</f>
        <v>#N/A</v>
      </c>
    </row>
    <row r="21" spans="1:14" ht="15.75" customHeight="1">
      <c r="A21" s="25">
        <v>5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  <c r="N21" s="40" t="e">
        <f t="array" aca="1" ref="N21" ca="1">INDEX(códigos!E:E,MATCH(D21,códigos!F:F,0))</f>
        <v>#N/A</v>
      </c>
    </row>
    <row r="22" spans="1:14" ht="15.75" customHeight="1">
      <c r="A22" s="25">
        <v>5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  <c r="N22" s="40" t="e">
        <f t="array" aca="1" ref="N22" ca="1">INDEX(códigos!E:E,MATCH(D22,códigos!F:F,0))</f>
        <v>#N/A</v>
      </c>
    </row>
    <row r="23" spans="1:14" ht="15.75" customHeight="1">
      <c r="A23" s="25">
        <v>5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  <c r="N23" s="40" t="e">
        <f t="array" aca="1" ref="N23" ca="1">INDEX(códigos!E:E,MATCH(D23,códigos!F:F,0))</f>
        <v>#N/A</v>
      </c>
    </row>
    <row r="24" spans="1:14" ht="15.75" customHeight="1">
      <c r="A24" s="25">
        <v>5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40" t="e">
        <f t="array" aca="1" ref="N24" ca="1">INDEX(códigos!E:E,MATCH(D24,códigos!F:F,0))</f>
        <v>#N/A</v>
      </c>
    </row>
    <row r="25" spans="1:14" ht="15.75" customHeight="1">
      <c r="A25" s="25">
        <v>5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40" t="e">
        <f t="array" aca="1" ref="N25" ca="1">INDEX(códigos!E:E,MATCH(D25,códigos!F:F,0))</f>
        <v>#N/A</v>
      </c>
    </row>
    <row r="26" spans="1:14" ht="15.75" customHeight="1">
      <c r="A26" s="25">
        <v>5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  <c r="N26" s="40" t="e">
        <f t="array" aca="1" ref="N26" ca="1">INDEX(códigos!E:E,MATCH(D26,códigos!F:F,0))</f>
        <v>#N/A</v>
      </c>
    </row>
    <row r="27" spans="1:14" ht="15.75" customHeight="1">
      <c r="A27" s="25">
        <v>5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  <c r="N27" s="40" t="e">
        <f t="array" aca="1" ref="N27" ca="1">INDEX(códigos!E:E,MATCH(D27,códigos!F:F,0))</f>
        <v>#N/A</v>
      </c>
    </row>
    <row r="28" spans="1:14" ht="15.75" customHeight="1">
      <c r="A28" s="25">
        <v>5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</row>
    <row r="29" spans="1:14" ht="15.75" customHeight="1">
      <c r="A29" s="25">
        <v>5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</row>
    <row r="30" spans="1:14" ht="15.75" customHeight="1">
      <c r="A30" s="25">
        <v>5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</row>
    <row r="31" spans="1:14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14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</row>
    <row r="178" spans="1:11" ht="15.75" customHeight="1">
      <c r="A178" s="25"/>
      <c r="B178" s="25"/>
      <c r="D178" s="25"/>
      <c r="E178" s="29"/>
      <c r="F178" s="25"/>
      <c r="G178" s="25"/>
      <c r="H178" s="25"/>
      <c r="I178" s="25"/>
      <c r="J178" s="25"/>
      <c r="K178" s="25"/>
    </row>
    <row r="179" spans="1:11" ht="15.75" customHeight="1">
      <c r="A179" s="25"/>
      <c r="B179" s="25"/>
      <c r="D179" s="25"/>
      <c r="E179" s="29"/>
      <c r="F179" s="25"/>
      <c r="G179" s="25"/>
      <c r="H179" s="25"/>
      <c r="I179" s="25"/>
      <c r="J179" s="25"/>
      <c r="K179" s="25"/>
    </row>
    <row r="180" spans="1:11" ht="15.75" customHeight="1">
      <c r="A180" s="25"/>
      <c r="B180" s="25"/>
      <c r="D180" s="25"/>
      <c r="E180" s="29"/>
      <c r="F180" s="25"/>
      <c r="G180" s="25"/>
      <c r="H180" s="25"/>
      <c r="I180" s="25"/>
      <c r="J180" s="25"/>
      <c r="K180" s="25"/>
    </row>
    <row r="181" spans="1:11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</row>
    <row r="182" spans="1:11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</row>
    <row r="183" spans="1:11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</row>
    <row r="184" spans="1:11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</row>
    <row r="185" spans="1:11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</row>
    <row r="186" spans="1:11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</row>
    <row r="187" spans="1:11" ht="15.7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</row>
    <row r="188" spans="1:11" ht="15.75" customHeight="1">
      <c r="A188" s="25"/>
      <c r="B188" s="25"/>
      <c r="D188" s="25"/>
      <c r="E188" s="25"/>
      <c r="F188" s="25"/>
      <c r="G188" s="25"/>
      <c r="H188" s="25"/>
      <c r="I188" s="25"/>
      <c r="J188" s="25"/>
      <c r="K188" s="25"/>
    </row>
    <row r="189" spans="1:11" ht="15.75" customHeight="1">
      <c r="A189" s="25"/>
      <c r="B189" s="25"/>
      <c r="D189" s="25"/>
      <c r="E189" s="25"/>
      <c r="F189" s="25"/>
      <c r="G189" s="25"/>
      <c r="H189" s="25"/>
      <c r="I189" s="25"/>
      <c r="J189" s="25"/>
      <c r="K189" s="25"/>
    </row>
    <row r="190" spans="1:11" ht="15.75" customHeight="1">
      <c r="A190" s="25"/>
      <c r="B190" s="25"/>
      <c r="D190" s="25"/>
      <c r="E190" s="25"/>
      <c r="F190" s="25"/>
      <c r="G190" s="25"/>
      <c r="H190" s="25"/>
      <c r="I190" s="25"/>
      <c r="J190" s="25"/>
      <c r="K190" s="25"/>
    </row>
    <row r="191" spans="1:11" ht="15.75" customHeight="1">
      <c r="A191" s="25"/>
      <c r="B191" s="25"/>
      <c r="D191" s="25"/>
      <c r="E191" s="25"/>
      <c r="F191" s="25"/>
      <c r="G191" s="25"/>
      <c r="H191" s="25"/>
      <c r="I191" s="25"/>
      <c r="J191" s="25"/>
      <c r="K191" s="25"/>
    </row>
    <row r="192" spans="1:11" ht="15.75" customHeight="1">
      <c r="A192" s="25"/>
      <c r="B192" s="25"/>
      <c r="D192" s="25"/>
      <c r="E192" s="25"/>
      <c r="F192" s="25"/>
      <c r="G192" s="25"/>
      <c r="H192" s="25"/>
      <c r="I192" s="25"/>
      <c r="J192" s="25"/>
      <c r="K192" s="25"/>
    </row>
    <row r="193" spans="1:11" ht="15.75" customHeight="1">
      <c r="A193" s="25"/>
      <c r="B193" s="25"/>
      <c r="D193" s="25"/>
      <c r="E193" s="25"/>
      <c r="F193" s="25"/>
      <c r="G193" s="25"/>
      <c r="H193" s="25"/>
      <c r="I193" s="25"/>
      <c r="J193" s="25"/>
      <c r="K193" s="25"/>
    </row>
    <row r="194" spans="1:11" ht="15.75" customHeight="1">
      <c r="A194" s="25"/>
      <c r="B194" s="25"/>
      <c r="D194" s="25"/>
      <c r="E194" s="25"/>
      <c r="F194" s="25"/>
      <c r="G194" s="25"/>
      <c r="H194" s="25"/>
      <c r="I194" s="25"/>
      <c r="J194" s="25"/>
      <c r="K194" s="25"/>
    </row>
    <row r="195" spans="1:11" ht="15.75" customHeight="1">
      <c r="E195" s="25"/>
    </row>
    <row r="196" spans="1:11" ht="15.75" customHeight="1">
      <c r="E196" s="25"/>
    </row>
    <row r="197" spans="1:11" ht="15.75" customHeight="1">
      <c r="E197" s="25"/>
    </row>
    <row r="198" spans="1:11" ht="15.75" customHeight="1">
      <c r="E198" s="25"/>
    </row>
    <row r="199" spans="1:11" ht="15.75" customHeight="1">
      <c r="E199" s="25"/>
    </row>
    <row r="200" spans="1:11" ht="15.75" customHeight="1">
      <c r="E200" s="25"/>
    </row>
    <row r="201" spans="1:11" ht="15.75" customHeight="1">
      <c r="E201" s="21"/>
    </row>
    <row r="202" spans="1:11" ht="15.75" customHeight="1">
      <c r="E202" s="22"/>
    </row>
    <row r="203" spans="1:11" ht="15.75" customHeight="1">
      <c r="E203" s="22" t="s">
        <v>5</v>
      </c>
    </row>
    <row r="204" spans="1:11" ht="15.75" customHeight="1">
      <c r="E204" s="29"/>
    </row>
    <row r="205" spans="1:11" ht="15.75" customHeight="1">
      <c r="E205" s="29"/>
    </row>
    <row r="206" spans="1:11" ht="15.75" customHeight="1">
      <c r="E206" s="29"/>
    </row>
    <row r="207" spans="1:11" ht="15.75" customHeight="1">
      <c r="E207" s="29"/>
    </row>
    <row r="208" spans="1:11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9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5"/>
    </row>
    <row r="251" spans="5:5" ht="15.75" customHeight="1">
      <c r="E251" s="21"/>
    </row>
    <row r="252" spans="5:5" ht="15.75" customHeight="1">
      <c r="E252" s="22"/>
    </row>
    <row r="253" spans="5:5" ht="15.75" customHeight="1">
      <c r="E253" s="22" t="s">
        <v>5</v>
      </c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9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5"/>
    </row>
    <row r="301" spans="5:5" ht="15.75" customHeight="1">
      <c r="E301" s="21"/>
    </row>
    <row r="302" spans="5:5" ht="15.75" customHeight="1">
      <c r="E302" s="22"/>
    </row>
    <row r="303" spans="5:5" ht="15.75" customHeight="1">
      <c r="E303" s="22" t="s">
        <v>5</v>
      </c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9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5"/>
    </row>
    <row r="351" spans="5:5" ht="15.75" customHeight="1">
      <c r="E351" s="21"/>
    </row>
    <row r="352" spans="5:5" ht="15.75" customHeight="1">
      <c r="E352" s="22"/>
    </row>
    <row r="353" spans="5:5" ht="15.75" customHeight="1">
      <c r="E353" s="22" t="s">
        <v>5</v>
      </c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9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5"/>
    </row>
    <row r="401" spans="5:5" ht="15.75" customHeight="1">
      <c r="E401" s="21"/>
    </row>
    <row r="402" spans="5:5" ht="15.75" customHeight="1">
      <c r="E402" s="22"/>
    </row>
    <row r="403" spans="5:5" ht="15.75" customHeight="1">
      <c r="E403" s="22" t="s">
        <v>5</v>
      </c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9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5"/>
    </row>
    <row r="451" spans="5:5" ht="15.75" customHeight="1">
      <c r="E451" s="21"/>
    </row>
    <row r="452" spans="5:5" ht="15.75" customHeight="1">
      <c r="E452" s="22"/>
    </row>
    <row r="453" spans="5:5" ht="15.75" customHeight="1">
      <c r="E453" s="22" t="s">
        <v>5</v>
      </c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9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5"/>
    </row>
    <row r="501" spans="5:5" ht="15.75" customHeight="1">
      <c r="E501" s="21"/>
    </row>
    <row r="502" spans="5:5" ht="15.75" customHeight="1">
      <c r="E502" s="22"/>
    </row>
    <row r="503" spans="5:5" ht="15.75" customHeight="1">
      <c r="E503" s="22" t="s">
        <v>5</v>
      </c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9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5"/>
    </row>
    <row r="551" spans="5:5" ht="15.75" customHeight="1">
      <c r="E551" s="21"/>
    </row>
    <row r="552" spans="5:5" ht="15.75" customHeight="1">
      <c r="E552" s="22"/>
    </row>
    <row r="553" spans="5:5" ht="15.75" customHeight="1">
      <c r="E553" s="22" t="s">
        <v>5</v>
      </c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9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5"/>
    </row>
    <row r="601" spans="5:5" ht="15.75" customHeight="1">
      <c r="E601" s="21"/>
    </row>
    <row r="602" spans="5:5" ht="15.75" customHeight="1">
      <c r="E602" s="22"/>
    </row>
    <row r="603" spans="5:5" ht="15.75" customHeight="1">
      <c r="E603" s="22" t="s">
        <v>5</v>
      </c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9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5"/>
    </row>
    <row r="651" spans="5:5" ht="15.75" customHeight="1">
      <c r="E651" s="21"/>
    </row>
    <row r="652" spans="5:5" ht="15.75" customHeight="1">
      <c r="E652" s="22"/>
    </row>
    <row r="653" spans="5:5" ht="15.75" customHeight="1">
      <c r="E653" s="22" t="s">
        <v>5</v>
      </c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9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5"/>
    </row>
    <row r="701" spans="5:5" ht="15.75" customHeight="1">
      <c r="E701" s="21"/>
    </row>
    <row r="702" spans="5:5" ht="15.75" customHeight="1">
      <c r="E702" s="22"/>
    </row>
    <row r="703" spans="5:5" ht="15.75" customHeight="1">
      <c r="E703" s="22" t="s">
        <v>5</v>
      </c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9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5"/>
    </row>
    <row r="751" spans="5:5" ht="15.75" customHeight="1">
      <c r="E751" s="21"/>
    </row>
    <row r="752" spans="5:5" ht="15.75" customHeight="1">
      <c r="E752" s="22"/>
    </row>
    <row r="753" spans="5:5" ht="15.75" customHeight="1">
      <c r="E753" s="22" t="s">
        <v>5</v>
      </c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9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5"/>
    </row>
    <row r="801" spans="5:5" ht="15.75" customHeight="1">
      <c r="E801" s="21"/>
    </row>
    <row r="802" spans="5:5" ht="15.75" customHeight="1">
      <c r="E802" s="22"/>
    </row>
    <row r="803" spans="5:5" ht="15.75" customHeight="1">
      <c r="E803" s="22" t="s">
        <v>5</v>
      </c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9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5"/>
    </row>
    <row r="851" spans="5:5" ht="15.75" customHeight="1">
      <c r="E851" s="21"/>
    </row>
    <row r="852" spans="5:5" ht="15.75" customHeight="1">
      <c r="E852" s="22"/>
    </row>
    <row r="853" spans="5:5" ht="15.75" customHeight="1">
      <c r="E853" s="22" t="s">
        <v>5</v>
      </c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9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5"/>
    </row>
    <row r="901" spans="5:5" ht="15.75" customHeight="1">
      <c r="E901" s="21"/>
    </row>
    <row r="902" spans="5:5" ht="15.75" customHeight="1">
      <c r="E902" s="22"/>
    </row>
    <row r="903" spans="5:5" ht="15.75" customHeight="1">
      <c r="E903" s="22" t="s">
        <v>5</v>
      </c>
    </row>
    <row r="904" spans="5:5" ht="15.75" customHeight="1">
      <c r="E904" s="29"/>
    </row>
    <row r="905" spans="5:5" ht="15.75" customHeight="1">
      <c r="E905" s="29"/>
    </row>
    <row r="906" spans="5:5" ht="15.75" customHeight="1">
      <c r="E906" s="29"/>
    </row>
    <row r="907" spans="5:5" ht="15.75" customHeight="1">
      <c r="E907" s="29"/>
    </row>
    <row r="908" spans="5:5" ht="15.75" customHeight="1">
      <c r="E908" s="29"/>
    </row>
    <row r="909" spans="5:5" ht="15.75" customHeight="1">
      <c r="E909" s="29"/>
    </row>
    <row r="910" spans="5:5" ht="15.75" customHeight="1">
      <c r="E910" s="29"/>
    </row>
    <row r="911" spans="5:5" ht="15.75" customHeight="1">
      <c r="E911" s="29"/>
    </row>
    <row r="912" spans="5:5" ht="15.75" customHeight="1">
      <c r="E912" s="29"/>
    </row>
    <row r="913" spans="5:5" ht="15.75" customHeight="1">
      <c r="E913" s="29"/>
    </row>
    <row r="914" spans="5:5" ht="15.75" customHeight="1">
      <c r="E914" s="29"/>
    </row>
    <row r="915" spans="5:5" ht="15.75" customHeight="1">
      <c r="E915" s="29"/>
    </row>
    <row r="916" spans="5:5" ht="15.75" customHeight="1">
      <c r="E916" s="29"/>
    </row>
    <row r="917" spans="5:5" ht="15.75" customHeight="1">
      <c r="E917" s="29"/>
    </row>
    <row r="918" spans="5:5" ht="15.75" customHeight="1">
      <c r="E918" s="29"/>
    </row>
    <row r="919" spans="5:5" ht="15.75" customHeight="1">
      <c r="E919" s="29"/>
    </row>
    <row r="920" spans="5:5" ht="15.75" customHeight="1">
      <c r="E920" s="29"/>
    </row>
    <row r="921" spans="5:5" ht="15.75" customHeight="1">
      <c r="E921" s="29"/>
    </row>
    <row r="922" spans="5:5" ht="15.75" customHeight="1">
      <c r="E922" s="29"/>
    </row>
    <row r="923" spans="5:5" ht="15.75" customHeight="1">
      <c r="E923" s="29"/>
    </row>
    <row r="924" spans="5:5" ht="15.75" customHeight="1">
      <c r="E924" s="29"/>
    </row>
    <row r="925" spans="5:5" ht="15.75" customHeight="1">
      <c r="E925" s="29"/>
    </row>
    <row r="926" spans="5:5" ht="15.75" customHeight="1">
      <c r="E926" s="29"/>
    </row>
    <row r="927" spans="5:5" ht="15.75" customHeight="1">
      <c r="E927" s="29"/>
    </row>
    <row r="928" spans="5:5" ht="15.75" customHeight="1">
      <c r="E928" s="29"/>
    </row>
    <row r="929" spans="5:5" ht="15.75" customHeight="1">
      <c r="E929" s="29"/>
    </row>
    <row r="930" spans="5:5" ht="15.75" customHeight="1">
      <c r="E930" s="29"/>
    </row>
    <row r="931" spans="5:5" ht="15.75" customHeight="1">
      <c r="E931" s="25"/>
    </row>
    <row r="932" spans="5:5" ht="15.75" customHeight="1">
      <c r="E932" s="25"/>
    </row>
    <row r="933" spans="5:5" ht="15.75" customHeight="1">
      <c r="E933" s="25"/>
    </row>
    <row r="934" spans="5:5" ht="15.75" customHeight="1">
      <c r="E934" s="25"/>
    </row>
    <row r="935" spans="5:5" ht="15.75" customHeight="1">
      <c r="E935" s="25"/>
    </row>
    <row r="936" spans="5:5" ht="15.75" customHeight="1">
      <c r="E936" s="25"/>
    </row>
    <row r="937" spans="5:5" ht="15.75" customHeight="1">
      <c r="E937" s="25"/>
    </row>
    <row r="938" spans="5:5" ht="15.75" customHeight="1">
      <c r="E938" s="25"/>
    </row>
    <row r="939" spans="5:5" ht="15.75" customHeight="1">
      <c r="E939" s="25"/>
    </row>
    <row r="940" spans="5:5" ht="15.75" customHeight="1">
      <c r="E940" s="25"/>
    </row>
    <row r="941" spans="5:5" ht="15.75" customHeight="1">
      <c r="E941" s="25"/>
    </row>
    <row r="942" spans="5:5" ht="15.75" customHeight="1">
      <c r="E942" s="25"/>
    </row>
    <row r="943" spans="5:5" ht="15.75" customHeight="1">
      <c r="E943" s="25"/>
    </row>
    <row r="944" spans="5:5" ht="15.75" customHeight="1">
      <c r="E944" s="25"/>
    </row>
    <row r="945" spans="5:5" ht="15.75" customHeight="1">
      <c r="E945" s="25"/>
    </row>
    <row r="946" spans="5:5" ht="15.75" customHeight="1">
      <c r="E946" s="25"/>
    </row>
    <row r="947" spans="5:5" ht="15.75" customHeight="1">
      <c r="E947" s="25"/>
    </row>
    <row r="948" spans="5:5" ht="15.75" customHeight="1">
      <c r="E948" s="25"/>
    </row>
    <row r="949" spans="5:5" ht="15.75" customHeight="1">
      <c r="E949" s="25"/>
    </row>
    <row r="950" spans="5:5" ht="15.75" customHeight="1">
      <c r="E950" s="25"/>
    </row>
    <row r="951" spans="5:5" ht="15.75" customHeight="1"/>
    <row r="952" spans="5:5" ht="15.75" customHeight="1"/>
    <row r="953" spans="5:5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 E904:E930</xm:sqref>
        </x14:dataValidation>
        <x14:dataValidation type="list" allowBlank="1" showErrorMessage="1" xr:uid="{00000000-0002-0000-05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5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D912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2" customWidth="1"/>
    <col min="2" max="2" width="27.5" customWidth="1"/>
    <col min="3" max="3" width="20.5" customWidth="1"/>
    <col min="4" max="4" width="11.33203125" customWidth="1"/>
    <col min="5" max="5" width="45.33203125" customWidth="1"/>
    <col min="6" max="6" width="32.83203125" customWidth="1"/>
    <col min="7" max="7" width="28.1640625" customWidth="1"/>
    <col min="8" max="8" width="11.5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47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6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  <c r="N4" s="34" t="e">
        <f t="array" aca="1" ref="N4" ca="1">INDEX(códigos!E:E,MATCH(D4,códigos!F:F,0))</f>
        <v>#N/A</v>
      </c>
    </row>
    <row r="5" spans="1:30" ht="15.75" customHeight="1">
      <c r="A5" s="25">
        <v>6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34" t="e">
        <f t="array" aca="1" ref="N5" ca="1">INDEX(códigos!E:E,MATCH(D5,códigos!F:F,0))</f>
        <v>#N/A</v>
      </c>
    </row>
    <row r="6" spans="1:30" ht="15.75" customHeight="1">
      <c r="A6" s="25">
        <v>6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34" t="e">
        <f t="array" aca="1" ref="N6" ca="1">INDEX(códigos!E:E,MATCH(D6,códigos!F:F,0))</f>
        <v>#N/A</v>
      </c>
    </row>
    <row r="7" spans="1:30" ht="15.75" customHeight="1">
      <c r="A7" s="25">
        <v>6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34" t="e">
        <f t="array" aca="1" ref="N7" ca="1">INDEX(códigos!E:E,MATCH(D7,códigos!F:F,0))</f>
        <v>#N/A</v>
      </c>
    </row>
    <row r="8" spans="1:30" ht="15.75" customHeight="1">
      <c r="A8" s="25">
        <v>6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34" t="e">
        <f t="array" aca="1" ref="N8" ca="1">INDEX(códigos!E:E,MATCH(D8,códigos!F:F,0))</f>
        <v>#N/A</v>
      </c>
    </row>
    <row r="9" spans="1:30" ht="15.75" customHeight="1">
      <c r="A9" s="25">
        <v>6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34" t="e">
        <f t="array" aca="1" ref="N9" ca="1">INDEX(códigos!E:E,MATCH(D9,códigos!F:F,0))</f>
        <v>#N/A</v>
      </c>
    </row>
    <row r="10" spans="1:30" ht="15.75" customHeight="1">
      <c r="A10" s="25">
        <v>6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  <c r="N10" s="34" t="e">
        <f t="array" aca="1" ref="N10" ca="1">INDEX(códigos!E:E,MATCH(D10,códigos!F:F,0))</f>
        <v>#N/A</v>
      </c>
    </row>
    <row r="11" spans="1:30" ht="15.75" customHeight="1">
      <c r="A11" s="25">
        <v>6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34" t="e">
        <f t="array" aca="1" ref="N11" ca="1">INDEX(códigos!E:E,MATCH(D11,códigos!F:F,0))</f>
        <v>#N/A</v>
      </c>
    </row>
    <row r="12" spans="1:30" ht="15.75" customHeight="1">
      <c r="A12" s="25">
        <v>6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  <c r="N12" s="34" t="e">
        <f t="array" aca="1" ref="N12" ca="1">INDEX(códigos!E:E,MATCH(D12,códigos!F:F,0))</f>
        <v>#N/A</v>
      </c>
    </row>
    <row r="13" spans="1:30" ht="15.75" customHeight="1">
      <c r="A13" s="25">
        <v>6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34" t="e">
        <f t="array" aca="1" ref="N13" ca="1">INDEX(códigos!E:E,MATCH(D13,códigos!F:F,0))</f>
        <v>#N/A</v>
      </c>
    </row>
    <row r="14" spans="1:30" ht="15.75" customHeight="1">
      <c r="A14" s="25">
        <v>6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34" t="e">
        <f t="array" aca="1" ref="N14" ca="1">INDEX(códigos!E:E,MATCH(D14,códigos!F:F,0))</f>
        <v>#N/A</v>
      </c>
    </row>
    <row r="15" spans="1:30" ht="15.75" customHeight="1">
      <c r="A15" s="25">
        <v>6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34" t="e">
        <f t="array" aca="1" ref="N15" ca="1">INDEX(códigos!E:E,MATCH(D15,códigos!F:F,0))</f>
        <v>#N/A</v>
      </c>
    </row>
    <row r="16" spans="1:30" ht="15.75" customHeight="1">
      <c r="A16" s="25">
        <v>6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  <c r="N16" s="34" t="e">
        <f t="array" aca="1" ref="N16" ca="1">INDEX(códigos!E:E,MATCH(D16,códigos!F:F,0))</f>
        <v>#N/A</v>
      </c>
    </row>
    <row r="17" spans="1:14" ht="15.75" customHeight="1">
      <c r="A17" s="25">
        <v>6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  <c r="N17" s="34" t="e">
        <f t="array" aca="1" ref="N17" ca="1">INDEX(códigos!E:E,MATCH(D17,códigos!F:F,0))</f>
        <v>#N/A</v>
      </c>
    </row>
    <row r="18" spans="1:14" ht="15.75" customHeight="1">
      <c r="A18" s="25">
        <v>6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  <c r="N18" s="34" t="e">
        <f t="array" aca="1" ref="N18" ca="1">INDEX(códigos!E:E,MATCH(D18,códigos!F:F,0))</f>
        <v>#N/A</v>
      </c>
    </row>
    <row r="19" spans="1:14" ht="15.75" customHeight="1">
      <c r="A19" s="25">
        <v>6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  <c r="N19" s="34" t="e">
        <f t="array" aca="1" ref="N19" ca="1">INDEX(códigos!E:E,MATCH(D19,códigos!F:F,0))</f>
        <v>#N/A</v>
      </c>
    </row>
    <row r="20" spans="1:14" ht="15.75" customHeight="1">
      <c r="A20" s="25">
        <v>6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  <c r="N20" s="34" t="e">
        <f t="array" aca="1" ref="N20" ca="1">INDEX(códigos!E:E,MATCH(D20,códigos!F:F,0))</f>
        <v>#N/A</v>
      </c>
    </row>
    <row r="21" spans="1:14" ht="15.75" customHeight="1">
      <c r="A21" s="25">
        <v>6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  <c r="N21" s="34" t="e">
        <f t="array" aca="1" ref="N21" ca="1">INDEX(códigos!E:E,MATCH(D21,códigos!F:F,0))</f>
        <v>#N/A</v>
      </c>
    </row>
    <row r="22" spans="1:14" ht="15.75" customHeight="1">
      <c r="A22" s="25">
        <v>6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  <c r="N22" s="34" t="e">
        <f t="array" aca="1" ref="N22" ca="1">INDEX(códigos!E:E,MATCH(D22,códigos!F:F,0))</f>
        <v>#N/A</v>
      </c>
    </row>
    <row r="23" spans="1:14" ht="15.75" customHeight="1">
      <c r="A23" s="25">
        <v>6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  <c r="N23" s="34" t="e">
        <f t="array" aca="1" ref="N23" ca="1">INDEX(códigos!E:E,MATCH(D23,códigos!F:F,0))</f>
        <v>#N/A</v>
      </c>
    </row>
    <row r="24" spans="1:14" ht="15.75" customHeight="1">
      <c r="A24" s="25">
        <v>6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34" t="e">
        <f t="array" aca="1" ref="N24" ca="1">INDEX(códigos!E:E,MATCH(D24,códigos!F:F,0))</f>
        <v>#N/A</v>
      </c>
    </row>
    <row r="25" spans="1:14" ht="15.75" customHeight="1">
      <c r="A25" s="25">
        <v>6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34" t="e">
        <f t="array" aca="1" ref="N25" ca="1">INDEX(códigos!E:E,MATCH(D25,códigos!F:F,0))</f>
        <v>#N/A</v>
      </c>
    </row>
    <row r="26" spans="1:14" ht="15.75" customHeight="1">
      <c r="A26" s="25">
        <v>6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  <c r="N26" s="34" t="e">
        <f t="array" aca="1" ref="N26" ca="1">INDEX(códigos!E:E,MATCH(D26,códigos!F:F,0))</f>
        <v>#N/A</v>
      </c>
    </row>
    <row r="27" spans="1:14" ht="15.75" customHeight="1">
      <c r="A27" s="25">
        <v>6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  <c r="N27" s="34" t="e">
        <f t="array" aca="1" ref="N27" ca="1">INDEX(códigos!E:E,MATCH(D27,códigos!F:F,0))</f>
        <v>#N/A</v>
      </c>
    </row>
    <row r="28" spans="1:14" ht="15.75" customHeight="1">
      <c r="A28" s="25">
        <v>6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  <c r="N28" s="34" t="e">
        <f t="array" aca="1" ref="N28" ca="1">INDEX(códigos!E:E,MATCH(D28,códigos!F:F,0))</f>
        <v>#N/A</v>
      </c>
    </row>
    <row r="29" spans="1:14" ht="15.75" customHeight="1">
      <c r="A29" s="25">
        <v>6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  <c r="N29" s="34" t="e">
        <f t="array" aca="1" ref="N29" ca="1">INDEX(códigos!E:E,MATCH(D29,códigos!F:F,0))</f>
        <v>#N/A</v>
      </c>
    </row>
    <row r="30" spans="1:14" ht="15.75" customHeight="1">
      <c r="A30" s="25">
        <v>6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  <c r="N30" s="34" t="e">
        <f t="array" aca="1" ref="N30" ca="1">INDEX(códigos!E:E,MATCH(D30,códigos!F:F,0))</f>
        <v>#N/A</v>
      </c>
    </row>
    <row r="31" spans="1:14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14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</row>
    <row r="154" spans="1:11" ht="15.75" customHeight="1">
      <c r="E154" s="29"/>
    </row>
    <row r="155" spans="1:11" ht="15.75" customHeight="1">
      <c r="E155" s="29"/>
    </row>
    <row r="156" spans="1:11" ht="15.75" customHeight="1">
      <c r="E156" s="29"/>
    </row>
    <row r="157" spans="1:11" ht="15.75" customHeight="1">
      <c r="E157" s="29"/>
    </row>
    <row r="158" spans="1:11" ht="15.75" customHeight="1">
      <c r="E158" s="29"/>
    </row>
    <row r="159" spans="1:11" ht="15.75" customHeight="1">
      <c r="E159" s="29"/>
    </row>
    <row r="160" spans="1:11" ht="15.75" customHeight="1">
      <c r="E160" s="29"/>
    </row>
    <row r="161" spans="5:5" ht="15.75" customHeight="1">
      <c r="E161" s="29"/>
    </row>
    <row r="162" spans="5:5" ht="15.75" customHeight="1">
      <c r="E162" s="29"/>
    </row>
    <row r="163" spans="5:5" ht="15.75" customHeight="1">
      <c r="E163" s="29"/>
    </row>
    <row r="164" spans="5:5" ht="15.75" customHeight="1">
      <c r="E164" s="29"/>
    </row>
    <row r="165" spans="5:5" ht="15.75" customHeight="1">
      <c r="E165" s="29"/>
    </row>
    <row r="166" spans="5:5" ht="15.75" customHeight="1">
      <c r="E166" s="29"/>
    </row>
    <row r="167" spans="5:5" ht="15.75" customHeight="1">
      <c r="E167" s="29"/>
    </row>
    <row r="168" spans="5:5" ht="15.75" customHeight="1">
      <c r="E168" s="29"/>
    </row>
    <row r="169" spans="5:5" ht="15.75" customHeight="1">
      <c r="E169" s="29"/>
    </row>
    <row r="170" spans="5:5" ht="15.75" customHeight="1">
      <c r="E170" s="29"/>
    </row>
    <row r="171" spans="5:5" ht="15.75" customHeight="1">
      <c r="E171" s="29"/>
    </row>
    <row r="172" spans="5:5" ht="15.75" customHeight="1">
      <c r="E172" s="29"/>
    </row>
    <row r="173" spans="5:5" ht="15.75" customHeight="1">
      <c r="E173" s="29"/>
    </row>
    <row r="174" spans="5:5" ht="15.75" customHeight="1">
      <c r="E174" s="29"/>
    </row>
    <row r="175" spans="5:5" ht="15.75" customHeight="1">
      <c r="E175" s="29"/>
    </row>
    <row r="176" spans="5:5" ht="15.75" customHeight="1">
      <c r="E176" s="29"/>
    </row>
    <row r="177" spans="5:5" ht="15.75" customHeight="1">
      <c r="E177" s="29"/>
    </row>
    <row r="178" spans="5:5" ht="15.75" customHeight="1">
      <c r="E178" s="29"/>
    </row>
    <row r="179" spans="5:5" ht="15.75" customHeight="1">
      <c r="E179" s="29"/>
    </row>
    <row r="180" spans="5:5" ht="15.75" customHeight="1">
      <c r="E180" s="29"/>
    </row>
    <row r="181" spans="5:5" ht="15.75" customHeight="1">
      <c r="E181" s="25"/>
    </row>
    <row r="182" spans="5:5" ht="15.75" customHeight="1">
      <c r="E182" s="25"/>
    </row>
    <row r="183" spans="5:5" ht="15.75" customHeight="1">
      <c r="E183" s="25"/>
    </row>
    <row r="184" spans="5:5" ht="15.75" customHeight="1">
      <c r="E184" s="25"/>
    </row>
    <row r="185" spans="5:5" ht="15.75" customHeight="1">
      <c r="E185" s="25"/>
    </row>
    <row r="186" spans="5:5" ht="15.75" customHeight="1">
      <c r="E186" s="25"/>
    </row>
    <row r="187" spans="5:5" ht="15.75" customHeight="1">
      <c r="E187" s="25"/>
    </row>
    <row r="188" spans="5:5" ht="15.75" customHeight="1">
      <c r="E188" s="25"/>
    </row>
    <row r="189" spans="5:5" ht="15.75" customHeight="1">
      <c r="E189" s="25"/>
    </row>
    <row r="190" spans="5:5" ht="15.75" customHeight="1">
      <c r="E190" s="25"/>
    </row>
    <row r="191" spans="5:5" ht="15.75" customHeight="1">
      <c r="E191" s="25"/>
    </row>
    <row r="192" spans="5:5" ht="15.75" customHeight="1">
      <c r="E192" s="25"/>
    </row>
    <row r="193" spans="5:5" ht="15.75" customHeight="1">
      <c r="E193" s="25"/>
    </row>
    <row r="194" spans="5:5" ht="15.75" customHeight="1">
      <c r="E194" s="25"/>
    </row>
    <row r="195" spans="5:5" ht="15.75" customHeight="1">
      <c r="E195" s="25"/>
    </row>
    <row r="196" spans="5:5" ht="15.75" customHeight="1">
      <c r="E196" s="25"/>
    </row>
    <row r="197" spans="5:5" ht="15.75" customHeight="1">
      <c r="E197" s="25"/>
    </row>
    <row r="198" spans="5:5" ht="15.75" customHeight="1">
      <c r="E198" s="25"/>
    </row>
    <row r="199" spans="5:5" ht="15.75" customHeight="1">
      <c r="E199" s="25"/>
    </row>
    <row r="200" spans="5:5" ht="15.75" customHeight="1">
      <c r="E200" s="25"/>
    </row>
    <row r="201" spans="5:5" ht="15.75" customHeight="1">
      <c r="E201" s="21"/>
    </row>
    <row r="202" spans="5:5" ht="15.75" customHeight="1">
      <c r="E202" s="22"/>
    </row>
    <row r="203" spans="5:5" ht="15.75" customHeight="1">
      <c r="E203" s="22" t="s">
        <v>5</v>
      </c>
    </row>
    <row r="204" spans="5:5" ht="15.75" customHeight="1">
      <c r="E204" s="29"/>
    </row>
    <row r="205" spans="5:5" ht="15.75" customHeight="1">
      <c r="E205" s="29"/>
    </row>
    <row r="206" spans="5:5" ht="15.75" customHeight="1">
      <c r="E206" s="29"/>
    </row>
    <row r="207" spans="5:5" ht="15.75" customHeight="1">
      <c r="E207" s="29"/>
    </row>
    <row r="208" spans="5:5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9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5"/>
    </row>
    <row r="251" spans="5:5" ht="15.75" customHeight="1">
      <c r="E251" s="21"/>
    </row>
    <row r="252" spans="5:5" ht="15.75" customHeight="1">
      <c r="E252" s="22"/>
    </row>
    <row r="253" spans="5:5" ht="15.75" customHeight="1">
      <c r="E253" s="22" t="s">
        <v>5</v>
      </c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9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5"/>
    </row>
    <row r="301" spans="5:5" ht="15.75" customHeight="1">
      <c r="E301" s="21"/>
    </row>
    <row r="302" spans="5:5" ht="15.75" customHeight="1">
      <c r="E302" s="22"/>
    </row>
    <row r="303" spans="5:5" ht="15.75" customHeight="1">
      <c r="E303" s="22" t="s">
        <v>5</v>
      </c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9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5"/>
    </row>
    <row r="351" spans="5:5" ht="15.75" customHeight="1">
      <c r="E351" s="21"/>
    </row>
    <row r="352" spans="5:5" ht="15.75" customHeight="1">
      <c r="E352" s="22"/>
    </row>
    <row r="353" spans="5:5" ht="15.75" customHeight="1">
      <c r="E353" s="22" t="s">
        <v>5</v>
      </c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9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5"/>
    </row>
    <row r="401" spans="5:5" ht="15.75" customHeight="1">
      <c r="E401" s="21"/>
    </row>
    <row r="402" spans="5:5" ht="15.75" customHeight="1">
      <c r="E402" s="22"/>
    </row>
    <row r="403" spans="5:5" ht="15.75" customHeight="1">
      <c r="E403" s="22" t="s">
        <v>5</v>
      </c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9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5"/>
    </row>
    <row r="451" spans="5:5" ht="15.75" customHeight="1">
      <c r="E451" s="21"/>
    </row>
    <row r="452" spans="5:5" ht="15.75" customHeight="1">
      <c r="E452" s="22"/>
    </row>
    <row r="453" spans="5:5" ht="15.75" customHeight="1">
      <c r="E453" s="22" t="s">
        <v>5</v>
      </c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9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5"/>
    </row>
    <row r="501" spans="5:5" ht="15.75" customHeight="1">
      <c r="E501" s="21"/>
    </row>
    <row r="502" spans="5:5" ht="15.75" customHeight="1">
      <c r="E502" s="22"/>
    </row>
    <row r="503" spans="5:5" ht="15.75" customHeight="1">
      <c r="E503" s="22" t="s">
        <v>5</v>
      </c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9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5"/>
    </row>
    <row r="551" spans="5:5" ht="15.75" customHeight="1">
      <c r="E551" s="21"/>
    </row>
    <row r="552" spans="5:5" ht="15.75" customHeight="1">
      <c r="E552" s="22"/>
    </row>
    <row r="553" spans="5:5" ht="15.75" customHeight="1">
      <c r="E553" s="22" t="s">
        <v>5</v>
      </c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9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5"/>
    </row>
    <row r="601" spans="5:5" ht="15.75" customHeight="1">
      <c r="E601" s="21"/>
    </row>
    <row r="602" spans="5:5" ht="15.75" customHeight="1">
      <c r="E602" s="22"/>
    </row>
    <row r="603" spans="5:5" ht="15.75" customHeight="1">
      <c r="E603" s="22" t="s">
        <v>5</v>
      </c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9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5"/>
    </row>
    <row r="651" spans="5:5" ht="15.75" customHeight="1">
      <c r="E651" s="21"/>
    </row>
    <row r="652" spans="5:5" ht="15.75" customHeight="1">
      <c r="E652" s="22"/>
    </row>
    <row r="653" spans="5:5" ht="15.75" customHeight="1">
      <c r="E653" s="22" t="s">
        <v>5</v>
      </c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9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5"/>
    </row>
    <row r="701" spans="5:5" ht="15.75" customHeight="1">
      <c r="E701" s="21"/>
    </row>
    <row r="702" spans="5:5" ht="15.75" customHeight="1">
      <c r="E702" s="22"/>
    </row>
    <row r="703" spans="5:5" ht="15.75" customHeight="1">
      <c r="E703" s="22" t="s">
        <v>5</v>
      </c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9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5"/>
    </row>
    <row r="751" spans="5:5" ht="15.75" customHeight="1">
      <c r="E751" s="21"/>
    </row>
    <row r="752" spans="5:5" ht="15.75" customHeight="1">
      <c r="E752" s="22"/>
    </row>
    <row r="753" spans="5:5" ht="15.75" customHeight="1">
      <c r="E753" s="22" t="s">
        <v>5</v>
      </c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9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5"/>
    </row>
    <row r="801" spans="5:5" ht="15.75" customHeight="1">
      <c r="E801" s="21"/>
    </row>
    <row r="802" spans="5:5" ht="15.75" customHeight="1">
      <c r="E802" s="22"/>
    </row>
    <row r="803" spans="5:5" ht="15.75" customHeight="1">
      <c r="E803" s="22" t="s">
        <v>5</v>
      </c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9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5"/>
    </row>
    <row r="851" spans="5:5" ht="15.75" customHeight="1">
      <c r="E851" s="21"/>
    </row>
    <row r="852" spans="5:5" ht="15.75" customHeight="1">
      <c r="E852" s="22"/>
    </row>
    <row r="853" spans="5:5" ht="15.75" customHeight="1">
      <c r="E853" s="22" t="s">
        <v>5</v>
      </c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9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5"/>
    </row>
    <row r="901" spans="5:5" ht="15.75" customHeight="1"/>
    <row r="902" spans="5:5" ht="15.75" customHeight="1"/>
    <row r="903" spans="5:5" ht="15.75" customHeight="1"/>
    <row r="904" spans="5:5" ht="15.75" customHeight="1"/>
    <row r="905" spans="5:5" ht="15.75" customHeight="1"/>
    <row r="906" spans="5:5" ht="15.75" customHeight="1"/>
    <row r="907" spans="5:5" ht="15.75" customHeight="1"/>
    <row r="908" spans="5:5" ht="15.75" customHeight="1"/>
    <row r="909" spans="5:5" ht="15.75" customHeight="1"/>
    <row r="910" spans="5:5" ht="15.75" customHeight="1"/>
    <row r="911" spans="5:5" ht="15.75" customHeight="1"/>
    <row r="912" spans="5:5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</xm:sqref>
        </x14:dataValidation>
        <x14:dataValidation type="list" allowBlank="1" showErrorMessage="1" xr:uid="{00000000-0002-0000-06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6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94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5.5" customWidth="1"/>
    <col min="2" max="2" width="36.83203125" customWidth="1"/>
    <col min="3" max="3" width="20.5" customWidth="1"/>
    <col min="4" max="4" width="11.33203125" customWidth="1"/>
    <col min="5" max="5" width="45.33203125" customWidth="1"/>
    <col min="6" max="6" width="38.33203125" customWidth="1"/>
    <col min="7" max="7" width="26.83203125" customWidth="1"/>
    <col min="8" max="8" width="11.5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47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7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  <c r="N4" s="7" t="e">
        <f t="array" aca="1" ref="N4" ca="1">INDEX(códigos!E:E,MATCH(D4,códigos!F:F,0))</f>
        <v>#N/A</v>
      </c>
    </row>
    <row r="5" spans="1:30" ht="15.75" customHeight="1">
      <c r="A5" s="25">
        <v>7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7" t="e">
        <f t="array" aca="1" ref="N5" ca="1">INDEX(códigos!E:E,MATCH(D5,códigos!F:F,0))</f>
        <v>#N/A</v>
      </c>
    </row>
    <row r="6" spans="1:30" ht="15.75" customHeight="1">
      <c r="A6" s="25">
        <v>7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7" t="e">
        <f t="array" aca="1" ref="N6" ca="1">INDEX(códigos!E:E,MATCH(D6,códigos!F:F,0))</f>
        <v>#N/A</v>
      </c>
    </row>
    <row r="7" spans="1:30" ht="15.75" customHeight="1">
      <c r="A7" s="25">
        <v>7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7" t="e">
        <f t="array" aca="1" ref="N7" ca="1">INDEX(códigos!E:E,MATCH(D7,códigos!F:F,0))</f>
        <v>#N/A</v>
      </c>
    </row>
    <row r="8" spans="1:30" ht="15.75" customHeight="1">
      <c r="A8" s="25">
        <v>7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7" t="e">
        <f t="array" aca="1" ref="N8" ca="1">INDEX(códigos!E:E,MATCH(D8,códigos!F:F,0))</f>
        <v>#N/A</v>
      </c>
    </row>
    <row r="9" spans="1:30" ht="15.75" customHeight="1">
      <c r="A9" s="25">
        <v>7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7" t="e">
        <f t="array" aca="1" ref="N9" ca="1">INDEX(códigos!E:E,MATCH(D9,códigos!F:F,0))</f>
        <v>#N/A</v>
      </c>
    </row>
    <row r="10" spans="1:30" ht="15.75" customHeight="1">
      <c r="A10" s="25">
        <v>7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  <c r="N10" s="7" t="e">
        <f t="array" aca="1" ref="N10" ca="1">INDEX(códigos!E:E,MATCH(D10,códigos!F:F,0))</f>
        <v>#N/A</v>
      </c>
    </row>
    <row r="11" spans="1:30" ht="15.75" customHeight="1">
      <c r="A11" s="25">
        <v>7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7" t="e">
        <f t="array" aca="1" ref="N11" ca="1">INDEX(códigos!E:E,MATCH(D11,códigos!F:F,0))</f>
        <v>#N/A</v>
      </c>
    </row>
    <row r="12" spans="1:30" ht="15.75" customHeight="1">
      <c r="A12" s="25">
        <v>7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  <c r="N12" s="7" t="e">
        <f t="array" aca="1" ref="N12" ca="1">INDEX(códigos!E:E,MATCH(D12,códigos!F:F,0))</f>
        <v>#N/A</v>
      </c>
    </row>
    <row r="13" spans="1:30" ht="15.75" customHeight="1">
      <c r="A13" s="25">
        <v>7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7" t="e">
        <f t="array" aca="1" ref="N13" ca="1">INDEX(códigos!E:E,MATCH(D13,códigos!F:F,0))</f>
        <v>#N/A</v>
      </c>
    </row>
    <row r="14" spans="1:30" ht="15.75" customHeight="1">
      <c r="A14" s="25">
        <v>7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7" t="e">
        <f t="array" aca="1" ref="N14" ca="1">INDEX(códigos!E:E,MATCH(D14,códigos!F:F,0))</f>
        <v>#N/A</v>
      </c>
    </row>
    <row r="15" spans="1:30" ht="15.75" customHeight="1">
      <c r="A15" s="25">
        <v>7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7" t="e">
        <f t="array" aca="1" ref="N15" ca="1">INDEX(códigos!E:E,MATCH(D15,códigos!F:F,0))</f>
        <v>#N/A</v>
      </c>
    </row>
    <row r="16" spans="1:30" ht="15.75" customHeight="1">
      <c r="A16" s="25">
        <v>7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</row>
    <row r="17" spans="1:13" ht="15.75" customHeight="1">
      <c r="A17" s="25">
        <v>7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</row>
    <row r="18" spans="1:13" ht="15.75" customHeight="1">
      <c r="A18" s="25">
        <v>7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</row>
    <row r="19" spans="1:13" ht="15.75" customHeight="1">
      <c r="A19" s="25">
        <v>7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</row>
    <row r="20" spans="1:13" ht="15.75" customHeight="1">
      <c r="A20" s="25">
        <v>7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</row>
    <row r="21" spans="1:13" ht="15.75" customHeight="1">
      <c r="A21" s="25">
        <v>7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</row>
    <row r="22" spans="1:13" ht="15.75" customHeight="1">
      <c r="A22" s="25">
        <v>7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</row>
    <row r="23" spans="1:13" ht="15.75" customHeight="1">
      <c r="A23" s="25">
        <v>7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</row>
    <row r="24" spans="1:13" ht="15.75" customHeight="1">
      <c r="A24" s="25">
        <v>7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</row>
    <row r="25" spans="1:13" ht="15.75" customHeight="1">
      <c r="A25" s="25">
        <v>7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</row>
    <row r="26" spans="1:13" ht="15.75" customHeight="1">
      <c r="A26" s="25">
        <v>7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</row>
    <row r="27" spans="1:13" ht="15.75" customHeight="1">
      <c r="A27" s="25">
        <v>7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</row>
    <row r="28" spans="1:13" ht="15.75" customHeight="1">
      <c r="A28" s="25">
        <v>7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</row>
    <row r="29" spans="1:13" ht="15.75" customHeight="1">
      <c r="A29" s="25">
        <v>7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</row>
    <row r="30" spans="1:13" ht="15.75" customHeight="1">
      <c r="A30" s="25">
        <v>7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</row>
    <row r="31" spans="1:13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13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</row>
    <row r="178" spans="1:11" ht="15.75" customHeight="1">
      <c r="A178" s="25"/>
      <c r="B178" s="25"/>
      <c r="D178" s="25"/>
      <c r="E178" s="29"/>
      <c r="F178" s="25"/>
      <c r="G178" s="25"/>
      <c r="H178" s="25"/>
      <c r="I178" s="25"/>
      <c r="J178" s="25"/>
      <c r="K178" s="25"/>
    </row>
    <row r="179" spans="1:11" ht="15.75" customHeight="1">
      <c r="A179" s="25"/>
      <c r="B179" s="25"/>
      <c r="D179" s="25"/>
      <c r="E179" s="29"/>
      <c r="F179" s="25"/>
      <c r="G179" s="25"/>
      <c r="H179" s="25"/>
      <c r="I179" s="25"/>
      <c r="J179" s="25"/>
      <c r="K179" s="25"/>
    </row>
    <row r="180" spans="1:11" ht="15.75" customHeight="1">
      <c r="A180" s="25"/>
      <c r="B180" s="25"/>
      <c r="D180" s="25"/>
      <c r="E180" s="29"/>
      <c r="F180" s="25"/>
      <c r="G180" s="25"/>
      <c r="H180" s="25"/>
      <c r="I180" s="25"/>
      <c r="J180" s="25"/>
      <c r="K180" s="25"/>
    </row>
    <row r="181" spans="1:11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</row>
    <row r="182" spans="1:11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</row>
    <row r="183" spans="1:11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</row>
    <row r="184" spans="1:11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</row>
    <row r="185" spans="1:11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</row>
    <row r="186" spans="1:11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</row>
    <row r="187" spans="1:11" ht="15.75" customHeight="1">
      <c r="E187" s="25"/>
    </row>
    <row r="188" spans="1:11" ht="15.75" customHeight="1">
      <c r="E188" s="25"/>
    </row>
    <row r="189" spans="1:11" ht="15.75" customHeight="1">
      <c r="E189" s="25"/>
    </row>
    <row r="190" spans="1:11" ht="15.75" customHeight="1">
      <c r="E190" s="25"/>
    </row>
    <row r="191" spans="1:11" ht="15.75" customHeight="1">
      <c r="E191" s="25"/>
    </row>
    <row r="192" spans="1:11" ht="15.75" customHeight="1">
      <c r="E192" s="25"/>
    </row>
    <row r="193" spans="5:5" ht="15.75" customHeight="1">
      <c r="E193" s="25"/>
    </row>
    <row r="194" spans="5:5" ht="15.75" customHeight="1">
      <c r="E194" s="25"/>
    </row>
    <row r="195" spans="5:5" ht="15.75" customHeight="1">
      <c r="E195" s="25"/>
    </row>
    <row r="196" spans="5:5" ht="15.75" customHeight="1">
      <c r="E196" s="25"/>
    </row>
    <row r="197" spans="5:5" ht="15.75" customHeight="1">
      <c r="E197" s="25"/>
    </row>
    <row r="198" spans="5:5" ht="15.75" customHeight="1">
      <c r="E198" s="25"/>
    </row>
    <row r="199" spans="5:5" ht="15.75" customHeight="1">
      <c r="E199" s="25"/>
    </row>
    <row r="200" spans="5:5" ht="15.75" customHeight="1">
      <c r="E200" s="25"/>
    </row>
    <row r="201" spans="5:5" ht="15.75" customHeight="1">
      <c r="E201" s="21"/>
    </row>
    <row r="202" spans="5:5" ht="15.75" customHeight="1">
      <c r="E202" s="22"/>
    </row>
    <row r="203" spans="5:5" ht="15.75" customHeight="1">
      <c r="E203" s="22" t="s">
        <v>5</v>
      </c>
    </row>
    <row r="204" spans="5:5" ht="15.75" customHeight="1">
      <c r="E204" s="29"/>
    </row>
    <row r="205" spans="5:5" ht="15.75" customHeight="1">
      <c r="E205" s="29"/>
    </row>
    <row r="206" spans="5:5" ht="15.75" customHeight="1">
      <c r="E206" s="29"/>
    </row>
    <row r="207" spans="5:5" ht="15.75" customHeight="1">
      <c r="E207" s="29"/>
    </row>
    <row r="208" spans="5:5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9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5"/>
    </row>
    <row r="251" spans="5:5" ht="15.75" customHeight="1">
      <c r="E251" s="21"/>
    </row>
    <row r="252" spans="5:5" ht="15.75" customHeight="1">
      <c r="E252" s="22"/>
    </row>
    <row r="253" spans="5:5" ht="15.75" customHeight="1">
      <c r="E253" s="22" t="s">
        <v>5</v>
      </c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9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5"/>
    </row>
    <row r="301" spans="5:5" ht="15.75" customHeight="1">
      <c r="E301" s="21"/>
    </row>
    <row r="302" spans="5:5" ht="15.75" customHeight="1">
      <c r="E302" s="22"/>
    </row>
    <row r="303" spans="5:5" ht="15.75" customHeight="1">
      <c r="E303" s="22" t="s">
        <v>5</v>
      </c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9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5"/>
    </row>
    <row r="351" spans="5:5" ht="15.75" customHeight="1">
      <c r="E351" s="21"/>
    </row>
    <row r="352" spans="5:5" ht="15.75" customHeight="1">
      <c r="E352" s="22"/>
    </row>
    <row r="353" spans="5:5" ht="15.75" customHeight="1">
      <c r="E353" s="22" t="s">
        <v>5</v>
      </c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9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5"/>
    </row>
    <row r="401" spans="5:5" ht="15.75" customHeight="1">
      <c r="E401" s="21"/>
    </row>
    <row r="402" spans="5:5" ht="15.75" customHeight="1">
      <c r="E402" s="22"/>
    </row>
    <row r="403" spans="5:5" ht="15.75" customHeight="1">
      <c r="E403" s="22" t="s">
        <v>5</v>
      </c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9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5"/>
    </row>
    <row r="451" spans="5:5" ht="15.75" customHeight="1">
      <c r="E451" s="21"/>
    </row>
    <row r="452" spans="5:5" ht="15.75" customHeight="1">
      <c r="E452" s="22"/>
    </row>
    <row r="453" spans="5:5" ht="15.75" customHeight="1">
      <c r="E453" s="22" t="s">
        <v>5</v>
      </c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9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5"/>
    </row>
    <row r="501" spans="5:5" ht="15.75" customHeight="1">
      <c r="E501" s="21"/>
    </row>
    <row r="502" spans="5:5" ht="15.75" customHeight="1">
      <c r="E502" s="22"/>
    </row>
    <row r="503" spans="5:5" ht="15.75" customHeight="1">
      <c r="E503" s="22" t="s">
        <v>5</v>
      </c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9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5"/>
    </row>
    <row r="551" spans="5:5" ht="15.75" customHeight="1">
      <c r="E551" s="21"/>
    </row>
    <row r="552" spans="5:5" ht="15.75" customHeight="1">
      <c r="E552" s="22"/>
    </row>
    <row r="553" spans="5:5" ht="15.75" customHeight="1">
      <c r="E553" s="22" t="s">
        <v>5</v>
      </c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9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5"/>
    </row>
    <row r="601" spans="5:5" ht="15.75" customHeight="1">
      <c r="E601" s="21"/>
    </row>
    <row r="602" spans="5:5" ht="15.75" customHeight="1">
      <c r="E602" s="22"/>
    </row>
    <row r="603" spans="5:5" ht="15.75" customHeight="1">
      <c r="E603" s="22" t="s">
        <v>5</v>
      </c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9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5"/>
    </row>
    <row r="651" spans="5:5" ht="15.75" customHeight="1">
      <c r="E651" s="21"/>
    </row>
    <row r="652" spans="5:5" ht="15.75" customHeight="1">
      <c r="E652" s="22"/>
    </row>
    <row r="653" spans="5:5" ht="15.75" customHeight="1">
      <c r="E653" s="22" t="s">
        <v>5</v>
      </c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9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5"/>
    </row>
    <row r="701" spans="5:5" ht="15.75" customHeight="1">
      <c r="E701" s="21"/>
    </row>
    <row r="702" spans="5:5" ht="15.75" customHeight="1">
      <c r="E702" s="22"/>
    </row>
    <row r="703" spans="5:5" ht="15.75" customHeight="1">
      <c r="E703" s="22" t="s">
        <v>5</v>
      </c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9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5"/>
    </row>
    <row r="751" spans="5:5" ht="15.75" customHeight="1">
      <c r="E751" s="21"/>
    </row>
    <row r="752" spans="5:5" ht="15.75" customHeight="1">
      <c r="E752" s="22"/>
    </row>
    <row r="753" spans="5:5" ht="15.75" customHeight="1">
      <c r="E753" s="22" t="s">
        <v>5</v>
      </c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9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5"/>
    </row>
    <row r="801" spans="5:5" ht="15.75" customHeight="1">
      <c r="E801" s="21"/>
    </row>
    <row r="802" spans="5:5" ht="15.75" customHeight="1">
      <c r="E802" s="22"/>
    </row>
    <row r="803" spans="5:5" ht="15.75" customHeight="1">
      <c r="E803" s="22" t="s">
        <v>5</v>
      </c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9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5"/>
    </row>
    <row r="851" spans="5:5" ht="15.75" customHeight="1">
      <c r="E851" s="21"/>
    </row>
    <row r="852" spans="5:5" ht="15.75" customHeight="1">
      <c r="E852" s="22"/>
    </row>
    <row r="853" spans="5:5" ht="15.75" customHeight="1">
      <c r="E853" s="22" t="s">
        <v>5</v>
      </c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9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5"/>
    </row>
    <row r="901" spans="5:5" ht="15.75" customHeight="1"/>
    <row r="902" spans="5:5" ht="15.75" customHeight="1"/>
    <row r="903" spans="5:5" ht="15.75" customHeight="1"/>
    <row r="904" spans="5:5" ht="15.75" customHeight="1"/>
    <row r="905" spans="5:5" ht="15.75" customHeight="1"/>
    <row r="906" spans="5:5" ht="15.75" customHeight="1"/>
    <row r="907" spans="5:5" ht="15.75" customHeight="1"/>
    <row r="908" spans="5:5" ht="15.75" customHeight="1"/>
    <row r="909" spans="5:5" ht="15.75" customHeight="1"/>
    <row r="910" spans="5:5" ht="15.75" customHeight="1"/>
    <row r="911" spans="5:5" ht="15.75" customHeight="1"/>
    <row r="912" spans="5:5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7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</xm:sqref>
        </x14:dataValidation>
        <x14:dataValidation type="list" allowBlank="1" showErrorMessage="1" xr:uid="{00000000-0002-0000-07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7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D94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5.5" customWidth="1"/>
    <col min="2" max="2" width="36.83203125" customWidth="1"/>
    <col min="3" max="3" width="20.5" customWidth="1"/>
    <col min="4" max="4" width="11.33203125" customWidth="1"/>
    <col min="5" max="5" width="45.33203125" customWidth="1"/>
    <col min="6" max="6" width="26.5" customWidth="1"/>
    <col min="7" max="7" width="38.33203125" customWidth="1"/>
    <col min="8" max="8" width="11.5" customWidth="1"/>
    <col min="9" max="10" width="14.33203125" customWidth="1"/>
    <col min="11" max="11" width="27.6640625" customWidth="1"/>
    <col min="12" max="12" width="19.1640625" customWidth="1"/>
    <col min="13" max="13" width="14.3320312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47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2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>
      <c r="A4" s="18">
        <v>8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</row>
    <row r="5" spans="1:30" ht="15.75" customHeight="1">
      <c r="A5" s="18">
        <v>8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7" t="e">
        <f t="array" aca="1" ref="N5" ca="1">INDEX(códigos!E:E,MATCH(D5,códigos!F:F,0))</f>
        <v>#N/A</v>
      </c>
    </row>
    <row r="6" spans="1:30" ht="15.75" customHeight="1">
      <c r="A6" s="18">
        <v>8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7" t="e">
        <f t="array" aca="1" ref="N6" ca="1">INDEX(códigos!E:E,MATCH(D6,códigos!F:F,0))</f>
        <v>#N/A</v>
      </c>
    </row>
    <row r="7" spans="1:30" ht="15.75" customHeight="1">
      <c r="A7" s="18">
        <v>8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7" t="e">
        <f t="array" aca="1" ref="N7" ca="1">INDEX(códigos!E:E,MATCH(D7,códigos!F:F,0))</f>
        <v>#N/A</v>
      </c>
    </row>
    <row r="8" spans="1:30" ht="15.75" customHeight="1">
      <c r="A8" s="18">
        <v>8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7" t="e">
        <f t="array" aca="1" ref="N8" ca="1">INDEX(códigos!E:E,MATCH(D8,códigos!F:F,0))</f>
        <v>#N/A</v>
      </c>
    </row>
    <row r="9" spans="1:30" ht="15.75" customHeight="1">
      <c r="A9" s="18">
        <v>8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7" t="e">
        <f t="array" aca="1" ref="N9" ca="1">INDEX(códigos!E:E,MATCH(D9,códigos!F:F,0))</f>
        <v>#N/A</v>
      </c>
    </row>
    <row r="10" spans="1:30" ht="15.75" customHeight="1">
      <c r="A10" s="18">
        <v>8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</row>
    <row r="11" spans="1:30" ht="15.75" customHeight="1">
      <c r="A11" s="18">
        <v>8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</row>
    <row r="12" spans="1:30" ht="15.75" customHeight="1">
      <c r="A12" s="18">
        <v>8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</row>
    <row r="13" spans="1:30" ht="15.75" customHeight="1">
      <c r="A13" s="18">
        <v>8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</row>
    <row r="14" spans="1:30" ht="15.75" customHeight="1">
      <c r="A14" s="18">
        <v>8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</row>
    <row r="15" spans="1:30" ht="15.75" customHeight="1">
      <c r="A15" s="18">
        <v>8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</row>
    <row r="16" spans="1:30" ht="15.75" customHeight="1">
      <c r="A16" s="18">
        <v>8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</row>
    <row r="17" spans="1:13" ht="15.75" customHeight="1">
      <c r="A17" s="18">
        <v>8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</row>
    <row r="18" spans="1:13" ht="15.75" customHeight="1">
      <c r="A18" s="18">
        <v>8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</row>
    <row r="19" spans="1:13" ht="15.75" customHeight="1">
      <c r="A19" s="18">
        <v>8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</row>
    <row r="20" spans="1:13" ht="15.75" customHeight="1">
      <c r="A20" s="18">
        <v>8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</row>
    <row r="21" spans="1:13" ht="15.75" customHeight="1">
      <c r="A21" s="18">
        <v>8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</row>
    <row r="22" spans="1:13" ht="15.75" customHeight="1">
      <c r="A22" s="18">
        <v>8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</row>
    <row r="23" spans="1:13" ht="15.75" customHeight="1">
      <c r="A23" s="18">
        <v>8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</row>
    <row r="24" spans="1:13" ht="15.75" customHeight="1">
      <c r="A24" s="18">
        <v>8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</row>
    <row r="25" spans="1:13" ht="15.75" customHeight="1">
      <c r="A25" s="18">
        <v>8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</row>
    <row r="26" spans="1:13" ht="15.75" customHeight="1">
      <c r="A26" s="18">
        <v>8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</row>
    <row r="27" spans="1:13" ht="15.75" customHeight="1">
      <c r="A27" s="18">
        <v>8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</row>
    <row r="28" spans="1:13" ht="15.75" customHeight="1">
      <c r="A28" s="18">
        <v>8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</row>
    <row r="29" spans="1:13" ht="15.75" customHeight="1">
      <c r="A29" s="18">
        <v>8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</row>
    <row r="30" spans="1:13" ht="15.75" customHeight="1">
      <c r="A30" s="18">
        <v>8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</row>
    <row r="31" spans="1:13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13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  <c r="L48" s="25"/>
      <c r="M48" s="25"/>
    </row>
    <row r="49" spans="1:13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  <c r="L51" s="25"/>
      <c r="M51" s="25"/>
    </row>
    <row r="52" spans="1:13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  <c r="L52" s="25"/>
      <c r="M52" s="25"/>
    </row>
    <row r="53" spans="1:13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  <c r="L53" s="25"/>
      <c r="M53" s="25"/>
    </row>
    <row r="54" spans="1:13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  <c r="L54" s="25"/>
      <c r="M54" s="25"/>
    </row>
    <row r="55" spans="1:13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  <c r="L55" s="25"/>
      <c r="M55" s="25"/>
    </row>
    <row r="56" spans="1:13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  <c r="L56" s="25"/>
      <c r="M56" s="25"/>
    </row>
    <row r="57" spans="1:13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  <c r="L57" s="25"/>
      <c r="M57" s="25"/>
    </row>
    <row r="58" spans="1:13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  <c r="L58" s="25"/>
      <c r="M58" s="25"/>
    </row>
    <row r="59" spans="1:13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  <c r="L59" s="25"/>
      <c r="M59" s="25"/>
    </row>
    <row r="60" spans="1:13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  <c r="L60" s="25"/>
      <c r="M60" s="25"/>
    </row>
    <row r="61" spans="1:13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  <c r="L61" s="25"/>
      <c r="M61" s="25"/>
    </row>
    <row r="62" spans="1:13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  <c r="L62" s="25"/>
      <c r="M62" s="25"/>
    </row>
    <row r="63" spans="1:13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  <c r="L63" s="25"/>
      <c r="M63" s="25"/>
    </row>
    <row r="64" spans="1:13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  <c r="L64" s="25"/>
      <c r="M64" s="25"/>
    </row>
    <row r="65" spans="1:13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  <c r="L65" s="25"/>
      <c r="M65" s="25"/>
    </row>
    <row r="66" spans="1:13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  <c r="L66" s="25"/>
      <c r="M66" s="25"/>
    </row>
    <row r="67" spans="1:13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  <c r="L67" s="25"/>
      <c r="M67" s="25"/>
    </row>
    <row r="68" spans="1:13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  <c r="L68" s="25"/>
      <c r="M68" s="25"/>
    </row>
    <row r="69" spans="1:13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  <c r="L69" s="25"/>
      <c r="M69" s="25"/>
    </row>
    <row r="70" spans="1:13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  <c r="L70" s="25"/>
      <c r="M70" s="25"/>
    </row>
    <row r="71" spans="1:13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  <c r="L71" s="25"/>
      <c r="M71" s="25"/>
    </row>
    <row r="72" spans="1:13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  <c r="L72" s="25"/>
      <c r="M72" s="25"/>
    </row>
    <row r="73" spans="1:13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  <c r="L73" s="25"/>
      <c r="M73" s="25"/>
    </row>
    <row r="74" spans="1:13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  <c r="L74" s="25"/>
      <c r="M74" s="25"/>
    </row>
    <row r="75" spans="1:13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  <c r="L75" s="25"/>
      <c r="M75" s="25"/>
    </row>
    <row r="76" spans="1:13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  <c r="L76" s="25"/>
      <c r="M76" s="25"/>
    </row>
    <row r="77" spans="1:13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  <c r="L77" s="25"/>
      <c r="M77" s="25"/>
    </row>
    <row r="78" spans="1:13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  <c r="L78" s="25"/>
      <c r="M78" s="25"/>
    </row>
    <row r="79" spans="1:13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  <c r="L79" s="25"/>
      <c r="M79" s="25"/>
    </row>
    <row r="80" spans="1:13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  <c r="L80" s="25"/>
      <c r="M80" s="25"/>
    </row>
    <row r="81" spans="1:13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  <c r="L81" s="25"/>
      <c r="M81" s="25"/>
    </row>
    <row r="82" spans="1:13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  <c r="L82" s="25"/>
      <c r="M82" s="25"/>
    </row>
    <row r="83" spans="1:13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7" spans="1:13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  <c r="L88" s="25"/>
      <c r="M88" s="25"/>
    </row>
    <row r="89" spans="1:13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  <c r="L89" s="25"/>
      <c r="M89" s="25"/>
    </row>
    <row r="90" spans="1:13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  <c r="L90" s="25"/>
      <c r="M90" s="25"/>
    </row>
    <row r="91" spans="1:13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  <c r="L91" s="25"/>
      <c r="M91" s="25"/>
    </row>
    <row r="92" spans="1:13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  <c r="L92" s="25"/>
      <c r="M92" s="25"/>
    </row>
    <row r="93" spans="1:13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  <c r="L93" s="25"/>
      <c r="M93" s="25"/>
    </row>
    <row r="94" spans="1:13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  <c r="L94" s="25"/>
      <c r="M94" s="25"/>
    </row>
    <row r="95" spans="1:13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  <c r="L96" s="25"/>
      <c r="M96" s="25"/>
    </row>
    <row r="97" spans="1:13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  <c r="L97" s="25"/>
      <c r="M97" s="25"/>
    </row>
    <row r="98" spans="1:13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  <c r="L98" s="25"/>
      <c r="M98" s="25"/>
    </row>
    <row r="99" spans="1:13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  <c r="L99" s="25"/>
      <c r="M99" s="25"/>
    </row>
    <row r="100" spans="1:13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</row>
    <row r="101" spans="1:13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  <c r="L101" s="25"/>
      <c r="M101" s="25"/>
    </row>
    <row r="102" spans="1:13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  <c r="L102" s="25"/>
      <c r="M102" s="25"/>
    </row>
    <row r="103" spans="1:13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  <c r="L103" s="25"/>
      <c r="M103" s="25"/>
    </row>
    <row r="104" spans="1:13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  <c r="L104" s="25"/>
      <c r="M104" s="25"/>
    </row>
    <row r="105" spans="1:13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  <c r="L105" s="25"/>
      <c r="M105" s="25"/>
    </row>
    <row r="106" spans="1:13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  <c r="L108" s="25"/>
      <c r="M108" s="25"/>
    </row>
    <row r="109" spans="1:13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  <c r="L110" s="25"/>
      <c r="M110" s="25"/>
    </row>
    <row r="111" spans="1:13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  <c r="L111" s="25"/>
      <c r="M111" s="25"/>
    </row>
    <row r="112" spans="1:13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  <c r="L112" s="25"/>
      <c r="M112" s="25"/>
    </row>
    <row r="113" spans="1:13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  <c r="L113" s="25"/>
      <c r="M113" s="25"/>
    </row>
    <row r="114" spans="1:13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  <c r="L114" s="25"/>
      <c r="M114" s="25"/>
    </row>
    <row r="115" spans="1:13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  <c r="L115" s="25"/>
      <c r="M115" s="25"/>
    </row>
    <row r="116" spans="1:13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  <c r="L116" s="25"/>
      <c r="M116" s="25"/>
    </row>
    <row r="117" spans="1:13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  <c r="L117" s="25"/>
      <c r="M117" s="25"/>
    </row>
    <row r="118" spans="1:13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  <c r="L118" s="25"/>
      <c r="M118" s="25"/>
    </row>
    <row r="119" spans="1:13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  <c r="L119" s="25"/>
      <c r="M119" s="25"/>
    </row>
    <row r="120" spans="1:13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  <c r="L120" s="25"/>
      <c r="M120" s="25"/>
    </row>
    <row r="121" spans="1:13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  <c r="L121" s="25"/>
      <c r="M121" s="25"/>
    </row>
    <row r="122" spans="1:13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  <c r="L122" s="25"/>
      <c r="M122" s="25"/>
    </row>
    <row r="123" spans="1:13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  <c r="L123" s="25"/>
      <c r="M123" s="25"/>
    </row>
    <row r="124" spans="1:13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  <c r="L124" s="25"/>
      <c r="M124" s="25"/>
    </row>
    <row r="125" spans="1:13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  <c r="L125" s="25"/>
      <c r="M125" s="25"/>
    </row>
    <row r="126" spans="1:13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  <c r="L126" s="25"/>
      <c r="M126" s="25"/>
    </row>
    <row r="127" spans="1:13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  <c r="L127" s="25"/>
      <c r="M127" s="25"/>
    </row>
    <row r="128" spans="1:13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  <c r="L128" s="25"/>
      <c r="M128" s="25"/>
    </row>
    <row r="129" spans="1:13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  <c r="L129" s="25"/>
      <c r="M129" s="25"/>
    </row>
    <row r="130" spans="1:13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  <c r="L130" s="25"/>
      <c r="M130" s="25"/>
    </row>
    <row r="131" spans="1:13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</row>
    <row r="133" spans="1:13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</row>
    <row r="134" spans="1:13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</row>
    <row r="135" spans="1:13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</row>
    <row r="136" spans="1:13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</row>
    <row r="137" spans="1:13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</row>
    <row r="138" spans="1:13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</row>
    <row r="139" spans="1:13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3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3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</row>
    <row r="142" spans="1:13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</row>
    <row r="143" spans="1:13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</row>
    <row r="144" spans="1:13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</row>
    <row r="145" spans="1:13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</row>
    <row r="146" spans="1:13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</row>
    <row r="150" spans="1:13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</row>
    <row r="151" spans="1:13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  <c r="L151" s="25"/>
      <c r="M151" s="25"/>
    </row>
    <row r="152" spans="1:13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  <c r="L152" s="25"/>
      <c r="M152" s="25"/>
    </row>
    <row r="153" spans="1:13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  <c r="L153" s="25"/>
      <c r="M153" s="25"/>
    </row>
    <row r="154" spans="1:13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  <c r="L154" s="25"/>
      <c r="M154" s="25"/>
    </row>
    <row r="155" spans="1:13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  <c r="L155" s="25"/>
      <c r="M155" s="25"/>
    </row>
    <row r="156" spans="1:13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  <c r="L156" s="25"/>
      <c r="M156" s="25"/>
    </row>
    <row r="157" spans="1:13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  <c r="L157" s="25"/>
      <c r="M157" s="25"/>
    </row>
    <row r="158" spans="1:13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  <c r="L158" s="25"/>
      <c r="M158" s="25"/>
    </row>
    <row r="159" spans="1:13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  <c r="L159" s="25"/>
      <c r="M159" s="25"/>
    </row>
    <row r="160" spans="1:13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  <c r="L160" s="25"/>
      <c r="M160" s="25"/>
    </row>
    <row r="161" spans="1:13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  <c r="L161" s="25"/>
      <c r="M161" s="25"/>
    </row>
    <row r="162" spans="1:13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  <c r="L162" s="25"/>
      <c r="M162" s="25"/>
    </row>
    <row r="163" spans="1:13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  <c r="L163" s="25"/>
      <c r="M163" s="25"/>
    </row>
    <row r="164" spans="1:13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  <c r="L164" s="25"/>
      <c r="M164" s="25"/>
    </row>
    <row r="165" spans="1:13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  <c r="L165" s="25"/>
      <c r="M165" s="25"/>
    </row>
    <row r="166" spans="1:13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  <c r="L166" s="25"/>
      <c r="M166" s="25"/>
    </row>
    <row r="167" spans="1:13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  <c r="L167" s="25"/>
      <c r="M167" s="25"/>
    </row>
    <row r="168" spans="1:13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  <c r="L168" s="25"/>
      <c r="M168" s="25"/>
    </row>
    <row r="169" spans="1:13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  <c r="L169" s="25"/>
      <c r="M169" s="25"/>
    </row>
    <row r="170" spans="1:13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  <c r="L170" s="25"/>
      <c r="M170" s="25"/>
    </row>
    <row r="171" spans="1:13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  <c r="L171" s="25"/>
      <c r="M171" s="25"/>
    </row>
    <row r="172" spans="1:13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  <c r="L172" s="25"/>
      <c r="M172" s="25"/>
    </row>
    <row r="173" spans="1:13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  <c r="L173" s="25"/>
      <c r="M173" s="25"/>
    </row>
    <row r="174" spans="1:13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  <c r="L174" s="25"/>
      <c r="M174" s="25"/>
    </row>
    <row r="175" spans="1:13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  <c r="L175" s="25"/>
      <c r="M175" s="25"/>
    </row>
    <row r="176" spans="1:13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  <c r="L176" s="25"/>
      <c r="M176" s="25"/>
    </row>
    <row r="177" spans="1:13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  <c r="L177" s="25"/>
      <c r="M177" s="25"/>
    </row>
    <row r="178" spans="1:13" ht="15.75" customHeight="1">
      <c r="A178" s="25"/>
      <c r="B178" s="25"/>
      <c r="D178" s="25"/>
      <c r="E178" s="29"/>
      <c r="F178" s="25"/>
      <c r="G178" s="25"/>
      <c r="H178" s="25"/>
      <c r="I178" s="25"/>
      <c r="J178" s="25"/>
      <c r="K178" s="25"/>
      <c r="L178" s="25"/>
      <c r="M178" s="25"/>
    </row>
    <row r="179" spans="1:13" ht="15.75" customHeight="1">
      <c r="A179" s="25"/>
      <c r="B179" s="25"/>
      <c r="D179" s="25"/>
      <c r="E179" s="29"/>
      <c r="F179" s="25"/>
      <c r="G179" s="25"/>
      <c r="H179" s="25"/>
      <c r="I179" s="25"/>
      <c r="J179" s="25"/>
      <c r="K179" s="25"/>
      <c r="L179" s="25"/>
      <c r="M179" s="25"/>
    </row>
    <row r="180" spans="1:13" ht="15.75" customHeight="1">
      <c r="A180" s="25"/>
      <c r="B180" s="25"/>
      <c r="D180" s="25"/>
      <c r="E180" s="29"/>
      <c r="F180" s="25"/>
      <c r="G180" s="25"/>
      <c r="H180" s="25"/>
      <c r="I180" s="25"/>
      <c r="J180" s="25"/>
      <c r="K180" s="25"/>
      <c r="L180" s="25"/>
      <c r="M180" s="25"/>
    </row>
    <row r="181" spans="1:13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</row>
    <row r="182" spans="1:13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</row>
    <row r="183" spans="1:13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</row>
    <row r="184" spans="1:13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</row>
    <row r="185" spans="1:13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</row>
    <row r="186" spans="1:13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</row>
    <row r="187" spans="1:13" ht="15.7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</row>
    <row r="188" spans="1:13" ht="15.75" customHeight="1">
      <c r="E188" s="25"/>
    </row>
    <row r="189" spans="1:13" ht="15.75" customHeight="1">
      <c r="E189" s="25"/>
    </row>
    <row r="190" spans="1:13" ht="15.75" customHeight="1">
      <c r="E190" s="25"/>
    </row>
    <row r="191" spans="1:13" ht="15.75" customHeight="1">
      <c r="E191" s="25"/>
    </row>
    <row r="192" spans="1:13" ht="15.75" customHeight="1">
      <c r="E192" s="25"/>
    </row>
    <row r="193" spans="5:5" ht="15.75" customHeight="1">
      <c r="E193" s="25"/>
    </row>
    <row r="194" spans="5:5" ht="15.75" customHeight="1">
      <c r="E194" s="25"/>
    </row>
    <row r="195" spans="5:5" ht="15.75" customHeight="1">
      <c r="E195" s="25"/>
    </row>
    <row r="196" spans="5:5" ht="15.75" customHeight="1">
      <c r="E196" s="25"/>
    </row>
    <row r="197" spans="5:5" ht="15.75" customHeight="1">
      <c r="E197" s="25"/>
    </row>
    <row r="198" spans="5:5" ht="15.75" customHeight="1">
      <c r="E198" s="25"/>
    </row>
    <row r="199" spans="5:5" ht="15.75" customHeight="1">
      <c r="E199" s="25"/>
    </row>
    <row r="200" spans="5:5" ht="15.75" customHeight="1">
      <c r="E200" s="25"/>
    </row>
    <row r="201" spans="5:5" ht="15.75" customHeight="1">
      <c r="E201" s="21"/>
    </row>
    <row r="202" spans="5:5" ht="15.75" customHeight="1">
      <c r="E202" s="22"/>
    </row>
    <row r="203" spans="5:5" ht="15.75" customHeight="1">
      <c r="E203" s="22" t="s">
        <v>5</v>
      </c>
    </row>
    <row r="204" spans="5:5" ht="15.75" customHeight="1">
      <c r="E204" s="29"/>
    </row>
    <row r="205" spans="5:5" ht="15.75" customHeight="1">
      <c r="E205" s="29"/>
    </row>
    <row r="206" spans="5:5" ht="15.75" customHeight="1">
      <c r="E206" s="29"/>
    </row>
    <row r="207" spans="5:5" ht="15.75" customHeight="1">
      <c r="E207" s="29"/>
    </row>
    <row r="208" spans="5:5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9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5"/>
    </row>
    <row r="251" spans="5:5" ht="15.75" customHeight="1">
      <c r="E251" s="21"/>
    </row>
    <row r="252" spans="5:5" ht="15.75" customHeight="1">
      <c r="E252" s="22"/>
    </row>
    <row r="253" spans="5:5" ht="15.75" customHeight="1">
      <c r="E253" s="22" t="s">
        <v>5</v>
      </c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9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5"/>
    </row>
    <row r="301" spans="5:5" ht="15.75" customHeight="1">
      <c r="E301" s="21"/>
    </row>
    <row r="302" spans="5:5" ht="15.75" customHeight="1">
      <c r="E302" s="22"/>
    </row>
    <row r="303" spans="5:5" ht="15.75" customHeight="1">
      <c r="E303" s="22" t="s">
        <v>5</v>
      </c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9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5"/>
    </row>
    <row r="351" spans="5:5" ht="15.75" customHeight="1">
      <c r="E351" s="21"/>
    </row>
    <row r="352" spans="5:5" ht="15.75" customHeight="1">
      <c r="E352" s="22"/>
    </row>
    <row r="353" spans="5:5" ht="15.75" customHeight="1">
      <c r="E353" s="22" t="s">
        <v>5</v>
      </c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9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5"/>
    </row>
    <row r="401" spans="5:5" ht="15.75" customHeight="1">
      <c r="E401" s="21"/>
    </row>
    <row r="402" spans="5:5" ht="15.75" customHeight="1">
      <c r="E402" s="22"/>
    </row>
    <row r="403" spans="5:5" ht="15.75" customHeight="1">
      <c r="E403" s="22" t="s">
        <v>5</v>
      </c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9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5"/>
    </row>
    <row r="451" spans="5:5" ht="15.75" customHeight="1">
      <c r="E451" s="21"/>
    </row>
    <row r="452" spans="5:5" ht="15.75" customHeight="1">
      <c r="E452" s="22"/>
    </row>
    <row r="453" spans="5:5" ht="15.75" customHeight="1">
      <c r="E453" s="22" t="s">
        <v>5</v>
      </c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9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5"/>
    </row>
    <row r="501" spans="5:5" ht="15.75" customHeight="1">
      <c r="E501" s="21"/>
    </row>
    <row r="502" spans="5:5" ht="15.75" customHeight="1">
      <c r="E502" s="22"/>
    </row>
    <row r="503" spans="5:5" ht="15.75" customHeight="1">
      <c r="E503" s="22" t="s">
        <v>5</v>
      </c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9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5"/>
    </row>
    <row r="551" spans="5:5" ht="15.75" customHeight="1">
      <c r="E551" s="21"/>
    </row>
    <row r="552" spans="5:5" ht="15.75" customHeight="1">
      <c r="E552" s="22"/>
    </row>
    <row r="553" spans="5:5" ht="15.75" customHeight="1">
      <c r="E553" s="22" t="s">
        <v>5</v>
      </c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9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5"/>
    </row>
    <row r="601" spans="5:5" ht="15.75" customHeight="1">
      <c r="E601" s="21"/>
    </row>
    <row r="602" spans="5:5" ht="15.75" customHeight="1">
      <c r="E602" s="22"/>
    </row>
    <row r="603" spans="5:5" ht="15.75" customHeight="1">
      <c r="E603" s="22" t="s">
        <v>5</v>
      </c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9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5"/>
    </row>
    <row r="651" spans="5:5" ht="15.75" customHeight="1">
      <c r="E651" s="21"/>
    </row>
    <row r="652" spans="5:5" ht="15.75" customHeight="1">
      <c r="E652" s="22"/>
    </row>
    <row r="653" spans="5:5" ht="15.75" customHeight="1">
      <c r="E653" s="22" t="s">
        <v>5</v>
      </c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9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5"/>
    </row>
    <row r="701" spans="5:5" ht="15.75" customHeight="1">
      <c r="E701" s="21"/>
    </row>
    <row r="702" spans="5:5" ht="15.75" customHeight="1">
      <c r="E702" s="22"/>
    </row>
    <row r="703" spans="5:5" ht="15.75" customHeight="1">
      <c r="E703" s="22" t="s">
        <v>5</v>
      </c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9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5"/>
    </row>
    <row r="751" spans="5:5" ht="15.75" customHeight="1">
      <c r="E751" s="21"/>
    </row>
    <row r="752" spans="5:5" ht="15.75" customHeight="1">
      <c r="E752" s="22"/>
    </row>
    <row r="753" spans="5:5" ht="15.75" customHeight="1">
      <c r="E753" s="22" t="s">
        <v>5</v>
      </c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9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5"/>
    </row>
    <row r="801" spans="5:5" ht="15.75" customHeight="1">
      <c r="E801" s="21"/>
    </row>
    <row r="802" spans="5:5" ht="15.75" customHeight="1">
      <c r="E802" s="22"/>
    </row>
    <row r="803" spans="5:5" ht="15.75" customHeight="1">
      <c r="E803" s="22" t="s">
        <v>5</v>
      </c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9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5"/>
    </row>
    <row r="851" spans="5:5" ht="15.75" customHeight="1">
      <c r="E851" s="21"/>
    </row>
    <row r="852" spans="5:5" ht="15.75" customHeight="1">
      <c r="E852" s="22"/>
    </row>
    <row r="853" spans="5:5" ht="15.75" customHeight="1">
      <c r="E853" s="22" t="s">
        <v>5</v>
      </c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9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5"/>
    </row>
    <row r="901" spans="5:5" ht="15.75" customHeight="1"/>
    <row r="902" spans="5:5" ht="15.75" customHeight="1"/>
    <row r="903" spans="5:5" ht="15.75" customHeight="1"/>
    <row r="904" spans="5:5" ht="15.75" customHeight="1"/>
    <row r="905" spans="5:5" ht="15.75" customHeight="1"/>
    <row r="906" spans="5:5" ht="15.75" customHeight="1"/>
    <row r="907" spans="5:5" ht="15.75" customHeight="1"/>
    <row r="908" spans="5:5" ht="15.75" customHeight="1"/>
    <row r="909" spans="5:5" ht="15.75" customHeight="1"/>
    <row r="910" spans="5:5" ht="15.75" customHeight="1"/>
    <row r="911" spans="5:5" ht="15.75" customHeight="1"/>
    <row r="912" spans="5:5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</xm:sqref>
        </x14:dataValidation>
        <x14:dataValidation type="list" allowBlank="1" showErrorMessage="1" xr:uid="{00000000-0002-0000-08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8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D94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5.5" customWidth="1"/>
    <col min="2" max="2" width="26.1640625" customWidth="1"/>
    <col min="3" max="3" width="20.5" customWidth="1"/>
    <col min="4" max="4" width="11.33203125" customWidth="1"/>
    <col min="5" max="5" width="45.33203125" customWidth="1"/>
    <col min="6" max="7" width="38.33203125" customWidth="1"/>
    <col min="8" max="8" width="17.5" customWidth="1"/>
    <col min="9" max="10" width="14.33203125" customWidth="1"/>
    <col min="11" max="11" width="18.1640625" customWidth="1"/>
    <col min="12" max="12" width="27.6640625" customWidth="1"/>
    <col min="13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2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9">
        <v>9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  <c r="N4" s="7" t="e">
        <f t="array" aca="1" ref="N4" ca="1">INDEX(códigos!E:E,MATCH(D4,códigos!F:F,0))</f>
        <v>#N/A</v>
      </c>
    </row>
    <row r="5" spans="1:30" ht="15.75" customHeight="1">
      <c r="A5" s="29">
        <v>9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7" t="e">
        <f t="array" aca="1" ref="N5" ca="1">INDEX(códigos!E:E,MATCH(D5,códigos!F:F,0))</f>
        <v>#N/A</v>
      </c>
    </row>
    <row r="6" spans="1:30" ht="15.75" customHeight="1">
      <c r="A6" s="29">
        <v>9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7" t="e">
        <f t="array" aca="1" ref="N6" ca="1">INDEX(códigos!E:E,MATCH(D6,códigos!F:F,0))</f>
        <v>#N/A</v>
      </c>
    </row>
    <row r="7" spans="1:30" ht="15.75" customHeight="1">
      <c r="A7" s="29">
        <v>9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7" t="e">
        <f t="array" aca="1" ref="N7" ca="1">INDEX(códigos!E:E,MATCH(D7,códigos!F:F,0))</f>
        <v>#N/A</v>
      </c>
    </row>
    <row r="8" spans="1:30" ht="15.75" customHeight="1">
      <c r="A8" s="29">
        <v>9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7" t="e">
        <f t="array" aca="1" ref="N8" ca="1">INDEX(códigos!E:E,MATCH(D8,códigos!F:F,0))</f>
        <v>#N/A</v>
      </c>
    </row>
    <row r="9" spans="1:30" ht="15.75" customHeight="1">
      <c r="A9" s="29">
        <v>9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7" t="e">
        <f t="array" aca="1" ref="N9" ca="1">INDEX(códigos!E:E,MATCH(D9,códigos!F:F,0))</f>
        <v>#N/A</v>
      </c>
    </row>
    <row r="10" spans="1:30" ht="15.75" customHeight="1">
      <c r="A10" s="29">
        <v>9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  <c r="N10" s="7" t="e">
        <f t="array" aca="1" ref="N10" ca="1">INDEX(códigos!E:E,MATCH(D10,códigos!F:F,0))</f>
        <v>#N/A</v>
      </c>
    </row>
    <row r="11" spans="1:30" ht="15.75" customHeight="1">
      <c r="A11" s="29">
        <v>9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7" t="e">
        <f t="array" aca="1" ref="N11" ca="1">INDEX(códigos!E:E,MATCH(D11,códigos!F:F,0))</f>
        <v>#N/A</v>
      </c>
    </row>
    <row r="12" spans="1:30" ht="15.75" customHeight="1">
      <c r="A12" s="29">
        <v>9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  <c r="N12" s="7" t="e">
        <f t="array" aca="1" ref="N12" ca="1">INDEX(códigos!E:E,MATCH(D12,códigos!F:F,0))</f>
        <v>#N/A</v>
      </c>
    </row>
    <row r="13" spans="1:30" ht="15.75" customHeight="1">
      <c r="A13" s="29">
        <v>9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7" t="e">
        <f t="array" aca="1" ref="N13" ca="1">INDEX(códigos!E:E,MATCH(D13,códigos!F:F,0))</f>
        <v>#N/A</v>
      </c>
    </row>
    <row r="14" spans="1:30" ht="15.75" customHeight="1">
      <c r="A14" s="29">
        <v>9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7" t="e">
        <f t="array" aca="1" ref="N14" ca="1">INDEX(códigos!E:E,MATCH(D14,códigos!F:F,0))</f>
        <v>#N/A</v>
      </c>
    </row>
    <row r="15" spans="1:30" ht="15.75" customHeight="1">
      <c r="A15" s="29">
        <v>9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7" t="e">
        <f t="array" aca="1" ref="N15" ca="1">INDEX(códigos!E:E,MATCH(D15,códigos!F:F,0))</f>
        <v>#N/A</v>
      </c>
    </row>
    <row r="16" spans="1:30" ht="15.75" customHeight="1">
      <c r="A16" s="29">
        <v>9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  <c r="N16" s="7" t="e">
        <f t="array" aca="1" ref="N16" ca="1">INDEX(códigos!E:E,MATCH(D16,códigos!F:F,0))</f>
        <v>#N/A</v>
      </c>
    </row>
    <row r="17" spans="1:14" ht="15.75" customHeight="1">
      <c r="A17" s="29">
        <v>9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  <c r="N17" s="7" t="e">
        <f t="array" aca="1" ref="N17" ca="1">INDEX(códigos!E:E,MATCH(D17,códigos!F:F,0))</f>
        <v>#N/A</v>
      </c>
    </row>
    <row r="18" spans="1:14" ht="15.75" customHeight="1">
      <c r="A18" s="29">
        <v>9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  <c r="N18" s="7" t="e">
        <f t="array" aca="1" ref="N18" ca="1">INDEX(códigos!E:E,MATCH(D18,códigos!F:F,0))</f>
        <v>#N/A</v>
      </c>
    </row>
    <row r="19" spans="1:14" ht="15.75" customHeight="1">
      <c r="A19" s="29">
        <v>9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  <c r="N19" s="7" t="e">
        <f t="array" aca="1" ref="N19" ca="1">INDEX(códigos!E:E,MATCH(D19,códigos!F:F,0))</f>
        <v>#N/A</v>
      </c>
    </row>
    <row r="20" spans="1:14" ht="15.75" customHeight="1">
      <c r="A20" s="29">
        <v>9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  <c r="N20" s="7" t="e">
        <f t="array" aca="1" ref="N20" ca="1">INDEX(códigos!E:E,MATCH(D20,códigos!F:F,0))</f>
        <v>#N/A</v>
      </c>
    </row>
    <row r="21" spans="1:14" ht="15.75" customHeight="1">
      <c r="A21" s="29">
        <v>9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</row>
    <row r="22" spans="1:14" ht="15.75" customHeight="1">
      <c r="A22" s="29">
        <v>9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</row>
    <row r="23" spans="1:14" ht="15.75" customHeight="1">
      <c r="A23" s="29">
        <v>9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</row>
    <row r="24" spans="1:14" ht="15.75" customHeight="1">
      <c r="A24" s="29">
        <v>9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</row>
    <row r="25" spans="1:14" ht="15.75" customHeight="1">
      <c r="A25" s="29">
        <v>9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</row>
    <row r="26" spans="1:14" ht="15.75" customHeight="1">
      <c r="A26" s="29">
        <v>9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</row>
    <row r="27" spans="1:14" ht="15.75" customHeight="1">
      <c r="A27" s="29">
        <v>9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</row>
    <row r="28" spans="1:14" ht="15.75" customHeight="1">
      <c r="A28" s="29">
        <v>9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</row>
    <row r="29" spans="1:14" ht="15.75" customHeight="1">
      <c r="A29" s="29">
        <v>9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</row>
    <row r="30" spans="1:14" ht="15.75" customHeight="1">
      <c r="A30" s="29">
        <v>9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</row>
    <row r="31" spans="1:14" ht="15.75" customHeight="1">
      <c r="A31" s="25"/>
      <c r="B31" s="25"/>
      <c r="D31" s="25"/>
      <c r="E31" s="25"/>
      <c r="F31" s="21"/>
      <c r="G31" s="25"/>
      <c r="H31" s="25"/>
      <c r="I31" s="25"/>
      <c r="J31" s="25"/>
      <c r="K31" s="25"/>
      <c r="L31" s="25"/>
    </row>
    <row r="32" spans="1:14" ht="15.75" customHeight="1">
      <c r="A32" s="25"/>
      <c r="B32" s="25"/>
      <c r="D32" s="25"/>
      <c r="E32" s="25"/>
      <c r="F32" s="21"/>
      <c r="G32" s="25"/>
      <c r="H32" s="25"/>
      <c r="I32" s="25"/>
      <c r="J32" s="25"/>
      <c r="K32" s="25"/>
      <c r="L32" s="25"/>
    </row>
    <row r="33" spans="1:12" ht="15.75" customHeight="1">
      <c r="A33" s="25"/>
      <c r="B33" s="25"/>
      <c r="D33" s="25"/>
      <c r="E33" s="25"/>
      <c r="F33" s="21"/>
      <c r="G33" s="25"/>
      <c r="H33" s="25"/>
      <c r="I33" s="25"/>
      <c r="J33" s="25"/>
      <c r="K33" s="25"/>
      <c r="L33" s="25"/>
    </row>
    <row r="34" spans="1:12" ht="15.75" customHeight="1">
      <c r="A34" s="25"/>
      <c r="B34" s="25"/>
      <c r="D34" s="25"/>
      <c r="E34" s="25"/>
      <c r="F34" s="21"/>
      <c r="G34" s="25"/>
      <c r="H34" s="25"/>
      <c r="I34" s="25"/>
      <c r="J34" s="25"/>
      <c r="K34" s="25"/>
      <c r="L34" s="25"/>
    </row>
    <row r="35" spans="1:12" ht="15.75" customHeight="1">
      <c r="A35" s="25"/>
      <c r="B35" s="25"/>
      <c r="D35" s="25"/>
      <c r="E35" s="25"/>
      <c r="F35" s="21"/>
      <c r="G35" s="25"/>
      <c r="H35" s="25"/>
      <c r="I35" s="25"/>
      <c r="J35" s="25"/>
      <c r="K35" s="25"/>
      <c r="L35" s="25"/>
    </row>
    <row r="36" spans="1:12" ht="15.75" customHeight="1">
      <c r="A36" s="25"/>
      <c r="B36" s="25"/>
      <c r="D36" s="25"/>
      <c r="E36" s="25"/>
      <c r="F36" s="21"/>
      <c r="G36" s="25"/>
      <c r="H36" s="25"/>
      <c r="I36" s="25"/>
      <c r="J36" s="25"/>
      <c r="K36" s="25"/>
      <c r="L36" s="25"/>
    </row>
    <row r="37" spans="1:12" ht="15.75" customHeight="1">
      <c r="A37" s="25"/>
      <c r="B37" s="25"/>
      <c r="D37" s="25"/>
      <c r="E37" s="25"/>
      <c r="F37" s="21"/>
      <c r="G37" s="25"/>
      <c r="H37" s="25"/>
      <c r="I37" s="25"/>
      <c r="J37" s="25"/>
      <c r="K37" s="25"/>
      <c r="L37" s="25"/>
    </row>
    <row r="38" spans="1:12" ht="15.75" customHeight="1">
      <c r="A38" s="25"/>
      <c r="B38" s="25"/>
      <c r="D38" s="25"/>
      <c r="E38" s="25"/>
      <c r="F38" s="21"/>
      <c r="G38" s="25"/>
      <c r="H38" s="25"/>
      <c r="I38" s="25"/>
      <c r="J38" s="25"/>
      <c r="K38" s="25"/>
      <c r="L38" s="25"/>
    </row>
    <row r="39" spans="1:12" ht="15.75" customHeight="1">
      <c r="A39" s="25"/>
      <c r="B39" s="25"/>
      <c r="D39" s="25"/>
      <c r="E39" s="25"/>
      <c r="F39" s="21"/>
      <c r="G39" s="25"/>
      <c r="H39" s="25"/>
      <c r="I39" s="25"/>
      <c r="J39" s="25"/>
      <c r="K39" s="25"/>
      <c r="L39" s="25"/>
    </row>
    <row r="40" spans="1:12" ht="15.75" customHeight="1">
      <c r="A40" s="25"/>
      <c r="B40" s="25"/>
      <c r="D40" s="25"/>
      <c r="E40" s="25"/>
      <c r="F40" s="21"/>
      <c r="G40" s="25"/>
      <c r="H40" s="25"/>
      <c r="I40" s="25"/>
      <c r="J40" s="25"/>
      <c r="K40" s="25"/>
      <c r="L40" s="25"/>
    </row>
    <row r="41" spans="1:12" ht="15.75" customHeight="1">
      <c r="A41" s="25"/>
      <c r="B41" s="25"/>
      <c r="D41" s="25"/>
      <c r="E41" s="25"/>
      <c r="F41" s="21"/>
      <c r="G41" s="25"/>
      <c r="H41" s="25"/>
      <c r="I41" s="25"/>
      <c r="J41" s="25"/>
      <c r="K41" s="25"/>
      <c r="L41" s="25"/>
    </row>
    <row r="42" spans="1:12" ht="15.75" customHeight="1">
      <c r="A42" s="25"/>
      <c r="B42" s="25"/>
      <c r="D42" s="25"/>
      <c r="E42" s="25"/>
      <c r="F42" s="21"/>
      <c r="G42" s="25"/>
      <c r="H42" s="25"/>
      <c r="I42" s="25"/>
      <c r="J42" s="25"/>
      <c r="K42" s="25"/>
      <c r="L42" s="25"/>
    </row>
    <row r="43" spans="1:12" ht="15.75" customHeight="1">
      <c r="A43" s="25"/>
      <c r="B43" s="25"/>
      <c r="D43" s="25"/>
      <c r="E43" s="25"/>
      <c r="F43" s="21"/>
      <c r="G43" s="25"/>
      <c r="H43" s="25"/>
      <c r="I43" s="25"/>
      <c r="J43" s="25"/>
      <c r="K43" s="25"/>
      <c r="L43" s="25"/>
    </row>
    <row r="44" spans="1:12" ht="15.75" customHeight="1">
      <c r="A44" s="25"/>
      <c r="B44" s="25"/>
      <c r="D44" s="25"/>
      <c r="E44" s="25"/>
      <c r="F44" s="21"/>
      <c r="G44" s="25"/>
      <c r="H44" s="25"/>
      <c r="I44" s="25"/>
      <c r="J44" s="25"/>
      <c r="K44" s="25"/>
      <c r="L44" s="25"/>
    </row>
    <row r="45" spans="1:12" ht="15.75" customHeight="1">
      <c r="A45" s="25"/>
      <c r="B45" s="25"/>
      <c r="D45" s="25"/>
      <c r="E45" s="25"/>
      <c r="F45" s="21"/>
      <c r="G45" s="25"/>
      <c r="H45" s="25"/>
      <c r="I45" s="25"/>
      <c r="J45" s="25"/>
      <c r="K45" s="25"/>
      <c r="L45" s="25"/>
    </row>
    <row r="46" spans="1:12" ht="15.75" customHeight="1">
      <c r="A46" s="25"/>
      <c r="B46" s="25"/>
      <c r="D46" s="25"/>
      <c r="E46" s="25"/>
      <c r="F46" s="21"/>
      <c r="G46" s="25"/>
      <c r="H46" s="25"/>
      <c r="I46" s="25"/>
      <c r="J46" s="25"/>
      <c r="K46" s="25"/>
      <c r="L46" s="25"/>
    </row>
    <row r="47" spans="1:12" ht="15.75" customHeight="1">
      <c r="A47" s="25"/>
      <c r="B47" s="25"/>
      <c r="D47" s="25"/>
      <c r="E47" s="25"/>
      <c r="F47" s="21"/>
      <c r="G47" s="25"/>
      <c r="H47" s="25"/>
      <c r="I47" s="25"/>
      <c r="J47" s="25"/>
      <c r="K47" s="25"/>
      <c r="L47" s="25"/>
    </row>
    <row r="48" spans="1:12" ht="15.75" customHeight="1">
      <c r="A48" s="25"/>
      <c r="B48" s="25"/>
      <c r="D48" s="25"/>
      <c r="E48" s="25"/>
      <c r="F48" s="21"/>
      <c r="G48" s="25"/>
      <c r="H48" s="25"/>
      <c r="I48" s="25"/>
      <c r="J48" s="25"/>
      <c r="K48" s="25"/>
      <c r="L48" s="25"/>
    </row>
    <row r="49" spans="1:12" ht="15.75" customHeight="1">
      <c r="A49" s="25"/>
      <c r="B49" s="25"/>
      <c r="D49" s="25"/>
      <c r="E49" s="25"/>
      <c r="F49" s="21"/>
      <c r="G49" s="25"/>
      <c r="H49" s="25"/>
      <c r="I49" s="25"/>
      <c r="J49" s="25"/>
      <c r="K49" s="25"/>
      <c r="L49" s="25"/>
    </row>
    <row r="50" spans="1:12" ht="15.75" customHeight="1">
      <c r="A50" s="25"/>
      <c r="B50" s="25"/>
      <c r="D50" s="25"/>
      <c r="E50" s="25"/>
      <c r="F50" s="21"/>
      <c r="G50" s="25"/>
      <c r="H50" s="25"/>
      <c r="I50" s="25"/>
      <c r="J50" s="25"/>
      <c r="K50" s="25"/>
      <c r="L50" s="25"/>
    </row>
    <row r="51" spans="1:12" ht="15.75" customHeight="1">
      <c r="A51" s="25"/>
      <c r="B51" s="25"/>
      <c r="D51" s="25"/>
      <c r="E51" s="21"/>
      <c r="F51" s="21"/>
      <c r="G51" s="25"/>
      <c r="H51" s="25"/>
      <c r="I51" s="25"/>
      <c r="J51" s="25"/>
      <c r="K51" s="25"/>
      <c r="L51" s="25"/>
    </row>
    <row r="52" spans="1:12" ht="15.75" customHeight="1">
      <c r="A52" s="25"/>
      <c r="B52" s="25"/>
      <c r="D52" s="25"/>
      <c r="E52" s="22"/>
      <c r="F52" s="21"/>
      <c r="G52" s="25"/>
      <c r="H52" s="25"/>
      <c r="I52" s="25"/>
      <c r="J52" s="25"/>
      <c r="K52" s="25"/>
      <c r="L52" s="25"/>
    </row>
    <row r="53" spans="1:12" ht="15.75" customHeight="1">
      <c r="A53" s="25"/>
      <c r="B53" s="25"/>
      <c r="D53" s="25"/>
      <c r="E53" s="22" t="s">
        <v>5</v>
      </c>
      <c r="F53" s="21"/>
      <c r="G53" s="25"/>
      <c r="H53" s="25"/>
      <c r="I53" s="25"/>
      <c r="J53" s="25"/>
      <c r="K53" s="25"/>
      <c r="L53" s="25"/>
    </row>
    <row r="54" spans="1:12" ht="15.75" customHeight="1">
      <c r="A54" s="25"/>
      <c r="B54" s="25"/>
      <c r="D54" s="25"/>
      <c r="E54" s="29"/>
      <c r="F54" s="21"/>
      <c r="G54" s="25"/>
      <c r="H54" s="25"/>
      <c r="I54" s="25"/>
      <c r="J54" s="25"/>
      <c r="K54" s="25"/>
      <c r="L54" s="25"/>
    </row>
    <row r="55" spans="1:12" ht="15.75" customHeight="1">
      <c r="A55" s="25"/>
      <c r="B55" s="25"/>
      <c r="D55" s="25"/>
      <c r="E55" s="29"/>
      <c r="F55" s="21"/>
      <c r="G55" s="25"/>
      <c r="H55" s="25"/>
      <c r="I55" s="25"/>
      <c r="J55" s="25"/>
      <c r="K55" s="25"/>
      <c r="L55" s="25"/>
    </row>
    <row r="56" spans="1:12" ht="15.75" customHeight="1">
      <c r="A56" s="25"/>
      <c r="B56" s="25"/>
      <c r="D56" s="25"/>
      <c r="E56" s="29"/>
      <c r="F56" s="21"/>
      <c r="G56" s="25"/>
      <c r="H56" s="25"/>
      <c r="I56" s="25"/>
      <c r="J56" s="25"/>
      <c r="K56" s="25"/>
      <c r="L56" s="25"/>
    </row>
    <row r="57" spans="1:12" ht="15.75" customHeight="1">
      <c r="A57" s="25"/>
      <c r="B57" s="25"/>
      <c r="D57" s="25"/>
      <c r="E57" s="29"/>
      <c r="F57" s="21"/>
      <c r="G57" s="25"/>
      <c r="H57" s="25"/>
      <c r="I57" s="25"/>
      <c r="J57" s="25"/>
      <c r="K57" s="25"/>
      <c r="L57" s="25"/>
    </row>
    <row r="58" spans="1:12" ht="15.75" customHeight="1">
      <c r="A58" s="25"/>
      <c r="B58" s="25"/>
      <c r="D58" s="25"/>
      <c r="E58" s="29"/>
      <c r="F58" s="21"/>
      <c r="G58" s="25"/>
      <c r="H58" s="25"/>
      <c r="I58" s="25"/>
      <c r="J58" s="25"/>
      <c r="K58" s="25"/>
      <c r="L58" s="25"/>
    </row>
    <row r="59" spans="1:12" ht="15.75" customHeight="1">
      <c r="A59" s="25"/>
      <c r="B59" s="25"/>
      <c r="D59" s="25"/>
      <c r="E59" s="29"/>
      <c r="F59" s="21"/>
      <c r="G59" s="25"/>
      <c r="H59" s="25"/>
      <c r="I59" s="25"/>
      <c r="J59" s="25"/>
      <c r="K59" s="25"/>
      <c r="L59" s="25"/>
    </row>
    <row r="60" spans="1:12" ht="15.75" customHeight="1">
      <c r="A60" s="25"/>
      <c r="B60" s="25"/>
      <c r="D60" s="25"/>
      <c r="E60" s="29"/>
      <c r="F60" s="21"/>
      <c r="G60" s="25"/>
      <c r="H60" s="25"/>
      <c r="I60" s="25"/>
      <c r="J60" s="25"/>
      <c r="K60" s="25"/>
      <c r="L60" s="25"/>
    </row>
    <row r="61" spans="1:12" ht="15.75" customHeight="1">
      <c r="A61" s="25"/>
      <c r="B61" s="25"/>
      <c r="D61" s="25"/>
      <c r="E61" s="29"/>
      <c r="F61" s="21"/>
      <c r="G61" s="25"/>
      <c r="H61" s="25"/>
      <c r="I61" s="25"/>
      <c r="J61" s="25"/>
      <c r="K61" s="25"/>
      <c r="L61" s="25"/>
    </row>
    <row r="62" spans="1:12" ht="15.75" customHeight="1">
      <c r="A62" s="25"/>
      <c r="B62" s="25"/>
      <c r="D62" s="25"/>
      <c r="E62" s="29"/>
      <c r="F62" s="21"/>
      <c r="G62" s="25"/>
      <c r="H62" s="25"/>
      <c r="I62" s="25"/>
      <c r="J62" s="25"/>
      <c r="K62" s="25"/>
      <c r="L62" s="25"/>
    </row>
    <row r="63" spans="1:12" ht="15.75" customHeight="1">
      <c r="A63" s="25"/>
      <c r="B63" s="25"/>
      <c r="D63" s="25"/>
      <c r="E63" s="29"/>
      <c r="F63" s="21"/>
      <c r="G63" s="25"/>
      <c r="H63" s="25"/>
      <c r="I63" s="25"/>
      <c r="J63" s="25"/>
      <c r="K63" s="25"/>
      <c r="L63" s="25"/>
    </row>
    <row r="64" spans="1:12" ht="15.75" customHeight="1">
      <c r="A64" s="25"/>
      <c r="B64" s="25"/>
      <c r="D64" s="25"/>
      <c r="E64" s="29"/>
      <c r="F64" s="21"/>
      <c r="G64" s="25"/>
      <c r="H64" s="25"/>
      <c r="I64" s="25"/>
      <c r="J64" s="25"/>
      <c r="K64" s="25"/>
      <c r="L64" s="25"/>
    </row>
    <row r="65" spans="1:12" ht="15.75" customHeight="1">
      <c r="A65" s="25"/>
      <c r="B65" s="25"/>
      <c r="D65" s="25"/>
      <c r="E65" s="29"/>
      <c r="F65" s="21"/>
      <c r="G65" s="25"/>
      <c r="H65" s="25"/>
      <c r="I65" s="25"/>
      <c r="J65" s="25"/>
      <c r="K65" s="25"/>
      <c r="L65" s="25"/>
    </row>
    <row r="66" spans="1:12" ht="15.75" customHeight="1">
      <c r="A66" s="25"/>
      <c r="B66" s="25"/>
      <c r="D66" s="25"/>
      <c r="E66" s="29"/>
      <c r="F66" s="21"/>
      <c r="G66" s="25"/>
      <c r="H66" s="25"/>
      <c r="I66" s="25"/>
      <c r="J66" s="25"/>
      <c r="K66" s="25"/>
      <c r="L66" s="25"/>
    </row>
    <row r="67" spans="1:12" ht="15.75" customHeight="1">
      <c r="A67" s="25"/>
      <c r="B67" s="25"/>
      <c r="D67" s="25"/>
      <c r="E67" s="29"/>
      <c r="F67" s="21"/>
      <c r="G67" s="25"/>
      <c r="H67" s="25"/>
      <c r="I67" s="25"/>
      <c r="J67" s="25"/>
      <c r="K67" s="25"/>
      <c r="L67" s="25"/>
    </row>
    <row r="68" spans="1:12" ht="15.75" customHeight="1">
      <c r="A68" s="25"/>
      <c r="B68" s="25"/>
      <c r="D68" s="25"/>
      <c r="E68" s="29"/>
      <c r="F68" s="21"/>
      <c r="G68" s="25"/>
      <c r="H68" s="25"/>
      <c r="I68" s="25"/>
      <c r="J68" s="25"/>
      <c r="K68" s="25"/>
      <c r="L68" s="25"/>
    </row>
    <row r="69" spans="1:12" ht="15.75" customHeight="1">
      <c r="A69" s="25"/>
      <c r="B69" s="25"/>
      <c r="D69" s="25"/>
      <c r="E69" s="29"/>
      <c r="F69" s="21"/>
      <c r="G69" s="25"/>
      <c r="H69" s="25"/>
      <c r="I69" s="25"/>
      <c r="J69" s="25"/>
      <c r="K69" s="25"/>
      <c r="L69" s="25"/>
    </row>
    <row r="70" spans="1:12" ht="15.75" customHeight="1">
      <c r="A70" s="25"/>
      <c r="B70" s="25"/>
      <c r="D70" s="25"/>
      <c r="E70" s="29"/>
      <c r="F70" s="21"/>
      <c r="G70" s="25"/>
      <c r="H70" s="25"/>
      <c r="I70" s="25"/>
      <c r="J70" s="25"/>
      <c r="K70" s="25"/>
      <c r="L70" s="25"/>
    </row>
    <row r="71" spans="1:12" ht="15.75" customHeight="1">
      <c r="A71" s="25"/>
      <c r="B71" s="25"/>
      <c r="D71" s="25"/>
      <c r="E71" s="29"/>
      <c r="F71" s="21"/>
      <c r="G71" s="25"/>
      <c r="H71" s="25"/>
      <c r="I71" s="25"/>
      <c r="J71" s="25"/>
      <c r="K71" s="25"/>
      <c r="L71" s="25"/>
    </row>
    <row r="72" spans="1:12" ht="15.75" customHeight="1">
      <c r="A72" s="25"/>
      <c r="B72" s="25"/>
      <c r="D72" s="25"/>
      <c r="E72" s="29"/>
      <c r="F72" s="21"/>
      <c r="G72" s="25"/>
      <c r="H72" s="25"/>
      <c r="I72" s="25"/>
      <c r="J72" s="25"/>
      <c r="K72" s="25"/>
      <c r="L72" s="25"/>
    </row>
    <row r="73" spans="1:12" ht="15.75" customHeight="1">
      <c r="A73" s="25"/>
      <c r="B73" s="25"/>
      <c r="D73" s="25"/>
      <c r="E73" s="29"/>
      <c r="F73" s="21"/>
      <c r="G73" s="25"/>
      <c r="H73" s="25"/>
      <c r="I73" s="25"/>
      <c r="J73" s="25"/>
      <c r="K73" s="25"/>
      <c r="L73" s="25"/>
    </row>
    <row r="74" spans="1:12" ht="15.75" customHeight="1">
      <c r="A74" s="25"/>
      <c r="B74" s="25"/>
      <c r="D74" s="25"/>
      <c r="E74" s="29"/>
      <c r="F74" s="21"/>
      <c r="G74" s="25"/>
      <c r="H74" s="25"/>
      <c r="I74" s="25"/>
      <c r="J74" s="25"/>
      <c r="K74" s="25"/>
      <c r="L74" s="25"/>
    </row>
    <row r="75" spans="1:12" ht="15.75" customHeight="1">
      <c r="A75" s="25"/>
      <c r="B75" s="25"/>
      <c r="D75" s="25"/>
      <c r="E75" s="29"/>
      <c r="F75" s="21"/>
      <c r="G75" s="25"/>
      <c r="H75" s="25"/>
      <c r="I75" s="25"/>
      <c r="J75" s="25"/>
      <c r="K75" s="25"/>
      <c r="L75" s="25"/>
    </row>
    <row r="76" spans="1:12" ht="15.75" customHeight="1">
      <c r="A76" s="25"/>
      <c r="B76" s="25"/>
      <c r="D76" s="25"/>
      <c r="E76" s="29"/>
      <c r="F76" s="21"/>
      <c r="G76" s="25"/>
      <c r="H76" s="25"/>
      <c r="I76" s="25"/>
      <c r="J76" s="25"/>
      <c r="K76" s="25"/>
      <c r="L76" s="25"/>
    </row>
    <row r="77" spans="1:12" ht="15.75" customHeight="1">
      <c r="A77" s="25"/>
      <c r="B77" s="25"/>
      <c r="D77" s="25"/>
      <c r="E77" s="29"/>
      <c r="F77" s="21"/>
      <c r="G77" s="25"/>
      <c r="H77" s="25"/>
      <c r="I77" s="25"/>
      <c r="J77" s="25"/>
      <c r="K77" s="25"/>
      <c r="L77" s="25"/>
    </row>
    <row r="78" spans="1:12" ht="15.75" customHeight="1">
      <c r="A78" s="25"/>
      <c r="B78" s="25"/>
      <c r="D78" s="25"/>
      <c r="E78" s="29"/>
      <c r="F78" s="21"/>
      <c r="G78" s="25"/>
      <c r="H78" s="25"/>
      <c r="I78" s="25"/>
      <c r="J78" s="25"/>
      <c r="K78" s="25"/>
      <c r="L78" s="25"/>
    </row>
    <row r="79" spans="1:12" ht="15.75" customHeight="1">
      <c r="A79" s="25"/>
      <c r="B79" s="25"/>
      <c r="D79" s="25"/>
      <c r="E79" s="29"/>
      <c r="F79" s="21"/>
      <c r="G79" s="25"/>
      <c r="H79" s="25"/>
      <c r="I79" s="25"/>
      <c r="J79" s="25"/>
      <c r="K79" s="25"/>
      <c r="L79" s="25"/>
    </row>
    <row r="80" spans="1:12" ht="15.75" customHeight="1">
      <c r="A80" s="25"/>
      <c r="B80" s="25"/>
      <c r="D80" s="25"/>
      <c r="E80" s="29"/>
      <c r="F80" s="21"/>
      <c r="G80" s="25"/>
      <c r="H80" s="25"/>
      <c r="I80" s="25"/>
      <c r="J80" s="25"/>
      <c r="K80" s="25"/>
      <c r="L80" s="25"/>
    </row>
    <row r="81" spans="1:12" ht="15.75" customHeight="1">
      <c r="A81" s="25"/>
      <c r="B81" s="25"/>
      <c r="D81" s="25"/>
      <c r="E81" s="25"/>
      <c r="F81" s="21"/>
      <c r="G81" s="25"/>
      <c r="H81" s="25"/>
      <c r="I81" s="25"/>
      <c r="J81" s="25"/>
      <c r="K81" s="25"/>
      <c r="L81" s="25"/>
    </row>
    <row r="82" spans="1:12" ht="15.75" customHeight="1">
      <c r="A82" s="25"/>
      <c r="B82" s="25"/>
      <c r="D82" s="25"/>
      <c r="E82" s="25"/>
      <c r="F82" s="21"/>
      <c r="G82" s="25"/>
      <c r="H82" s="25"/>
      <c r="I82" s="25"/>
      <c r="J82" s="25"/>
      <c r="K82" s="25"/>
      <c r="L82" s="25"/>
    </row>
    <row r="83" spans="1:12" ht="15.75" customHeight="1">
      <c r="A83" s="25"/>
      <c r="B83" s="25"/>
      <c r="D83" s="25"/>
      <c r="E83" s="25"/>
      <c r="F83" s="21"/>
      <c r="G83" s="25"/>
      <c r="H83" s="25"/>
      <c r="I83" s="25"/>
      <c r="J83" s="25"/>
      <c r="K83" s="25"/>
      <c r="L83" s="25"/>
    </row>
    <row r="84" spans="1:12" ht="15.75" customHeight="1">
      <c r="A84" s="25"/>
      <c r="B84" s="25"/>
      <c r="D84" s="25"/>
      <c r="E84" s="25"/>
      <c r="F84" s="21"/>
      <c r="G84" s="25"/>
      <c r="H84" s="25"/>
      <c r="I84" s="25"/>
      <c r="J84" s="25"/>
      <c r="K84" s="25"/>
      <c r="L84" s="25"/>
    </row>
    <row r="85" spans="1:12" ht="15.75" customHeight="1">
      <c r="A85" s="25"/>
      <c r="B85" s="25"/>
      <c r="D85" s="25"/>
      <c r="E85" s="25"/>
      <c r="F85" s="21"/>
      <c r="G85" s="25"/>
      <c r="H85" s="25"/>
      <c r="I85" s="25"/>
      <c r="J85" s="25"/>
      <c r="K85" s="25"/>
      <c r="L85" s="25"/>
    </row>
    <row r="86" spans="1:12" ht="15.75" customHeight="1">
      <c r="A86" s="25"/>
      <c r="B86" s="25"/>
      <c r="D86" s="25"/>
      <c r="E86" s="25"/>
      <c r="F86" s="21"/>
      <c r="G86" s="25"/>
      <c r="H86" s="25"/>
      <c r="I86" s="25"/>
      <c r="J86" s="25"/>
      <c r="K86" s="25"/>
      <c r="L86" s="25"/>
    </row>
    <row r="87" spans="1:12" ht="15.75" customHeight="1">
      <c r="A87" s="25"/>
      <c r="B87" s="25"/>
      <c r="D87" s="25"/>
      <c r="E87" s="25"/>
      <c r="F87" s="21"/>
      <c r="G87" s="25"/>
      <c r="H87" s="25"/>
      <c r="I87" s="25"/>
      <c r="J87" s="25"/>
      <c r="K87" s="25"/>
      <c r="L87" s="25"/>
    </row>
    <row r="88" spans="1:12" ht="15.75" customHeight="1">
      <c r="A88" s="25"/>
      <c r="B88" s="25"/>
      <c r="D88" s="25"/>
      <c r="E88" s="25"/>
      <c r="F88" s="21"/>
      <c r="G88" s="25"/>
      <c r="H88" s="25"/>
      <c r="I88" s="25"/>
      <c r="J88" s="25"/>
      <c r="K88" s="25"/>
      <c r="L88" s="25"/>
    </row>
    <row r="89" spans="1:12" ht="15.75" customHeight="1">
      <c r="A89" s="25"/>
      <c r="B89" s="25"/>
      <c r="D89" s="25"/>
      <c r="E89" s="25"/>
      <c r="F89" s="21"/>
      <c r="G89" s="25"/>
      <c r="H89" s="25"/>
      <c r="I89" s="25"/>
      <c r="J89" s="25"/>
      <c r="K89" s="25"/>
      <c r="L89" s="25"/>
    </row>
    <row r="90" spans="1:12" ht="15.75" customHeight="1">
      <c r="A90" s="25"/>
      <c r="B90" s="25"/>
      <c r="D90" s="25"/>
      <c r="E90" s="25"/>
      <c r="F90" s="21"/>
      <c r="G90" s="25"/>
      <c r="H90" s="25"/>
      <c r="I90" s="25"/>
      <c r="J90" s="25"/>
      <c r="K90" s="25"/>
      <c r="L90" s="25"/>
    </row>
    <row r="91" spans="1:12" ht="15.75" customHeight="1">
      <c r="A91" s="25"/>
      <c r="B91" s="25"/>
      <c r="D91" s="25"/>
      <c r="E91" s="25"/>
      <c r="F91" s="21"/>
      <c r="G91" s="25"/>
      <c r="H91" s="25"/>
      <c r="I91" s="25"/>
      <c r="J91" s="25"/>
      <c r="K91" s="25"/>
      <c r="L91" s="25"/>
    </row>
    <row r="92" spans="1:12" ht="15.75" customHeight="1">
      <c r="A92" s="25"/>
      <c r="B92" s="25"/>
      <c r="D92" s="25"/>
      <c r="E92" s="25"/>
      <c r="F92" s="21"/>
      <c r="G92" s="25"/>
      <c r="H92" s="25"/>
      <c r="I92" s="25"/>
      <c r="J92" s="25"/>
      <c r="K92" s="25"/>
      <c r="L92" s="25"/>
    </row>
    <row r="93" spans="1:12" ht="15.75" customHeight="1">
      <c r="A93" s="25"/>
      <c r="B93" s="25"/>
      <c r="D93" s="25"/>
      <c r="E93" s="25"/>
      <c r="F93" s="21"/>
      <c r="G93" s="25"/>
      <c r="H93" s="25"/>
      <c r="I93" s="25"/>
      <c r="J93" s="25"/>
      <c r="K93" s="25"/>
      <c r="L93" s="25"/>
    </row>
    <row r="94" spans="1:12" ht="15.75" customHeight="1">
      <c r="A94" s="25"/>
      <c r="B94" s="25"/>
      <c r="D94" s="25"/>
      <c r="E94" s="25"/>
      <c r="F94" s="21"/>
      <c r="G94" s="25"/>
      <c r="H94" s="25"/>
      <c r="I94" s="25"/>
      <c r="J94" s="25"/>
      <c r="K94" s="25"/>
      <c r="L94" s="25"/>
    </row>
    <row r="95" spans="1:12" ht="15.75" customHeight="1">
      <c r="A95" s="25"/>
      <c r="B95" s="25"/>
      <c r="D95" s="25"/>
      <c r="E95" s="25"/>
      <c r="F95" s="21"/>
      <c r="G95" s="25"/>
      <c r="H95" s="25"/>
      <c r="I95" s="25"/>
      <c r="J95" s="25"/>
      <c r="K95" s="25"/>
      <c r="L95" s="25"/>
    </row>
    <row r="96" spans="1:12" ht="15.75" customHeight="1">
      <c r="A96" s="25"/>
      <c r="B96" s="25"/>
      <c r="D96" s="25"/>
      <c r="E96" s="25"/>
      <c r="F96" s="21"/>
      <c r="G96" s="25"/>
      <c r="H96" s="25"/>
      <c r="I96" s="25"/>
      <c r="J96" s="25"/>
      <c r="K96" s="25"/>
      <c r="L96" s="25"/>
    </row>
    <row r="97" spans="1:12" ht="15.75" customHeight="1">
      <c r="A97" s="25"/>
      <c r="B97" s="25"/>
      <c r="D97" s="25"/>
      <c r="E97" s="25"/>
      <c r="F97" s="21"/>
      <c r="G97" s="25"/>
      <c r="H97" s="25"/>
      <c r="I97" s="25"/>
      <c r="J97" s="25"/>
      <c r="K97" s="25"/>
      <c r="L97" s="25"/>
    </row>
    <row r="98" spans="1:12" ht="15.75" customHeight="1">
      <c r="A98" s="25"/>
      <c r="B98" s="25"/>
      <c r="D98" s="25"/>
      <c r="E98" s="25"/>
      <c r="F98" s="21"/>
      <c r="G98" s="25"/>
      <c r="H98" s="25"/>
      <c r="I98" s="25"/>
      <c r="J98" s="25"/>
      <c r="K98" s="25"/>
      <c r="L98" s="25"/>
    </row>
    <row r="99" spans="1:12" ht="15.75" customHeight="1">
      <c r="A99" s="25"/>
      <c r="B99" s="25"/>
      <c r="D99" s="25"/>
      <c r="E99" s="25"/>
      <c r="F99" s="21"/>
      <c r="G99" s="25"/>
      <c r="H99" s="25"/>
      <c r="I99" s="25"/>
      <c r="J99" s="25"/>
      <c r="K99" s="25"/>
      <c r="L99" s="25"/>
    </row>
    <row r="100" spans="1:12" ht="15.75" customHeight="1">
      <c r="A100" s="25"/>
      <c r="B100" s="25"/>
      <c r="D100" s="25"/>
      <c r="E100" s="25"/>
      <c r="F100" s="21"/>
      <c r="G100" s="25"/>
      <c r="H100" s="25"/>
      <c r="I100" s="25"/>
      <c r="J100" s="25"/>
      <c r="K100" s="25"/>
      <c r="L100" s="25"/>
    </row>
    <row r="101" spans="1:12" ht="15.75" customHeight="1">
      <c r="A101" s="25"/>
      <c r="B101" s="25"/>
      <c r="D101" s="25"/>
      <c r="E101" s="21"/>
      <c r="F101" s="21"/>
      <c r="G101" s="25"/>
      <c r="H101" s="25"/>
      <c r="I101" s="25"/>
      <c r="J101" s="25"/>
      <c r="K101" s="25"/>
      <c r="L101" s="25"/>
    </row>
    <row r="102" spans="1:12" ht="15.75" customHeight="1">
      <c r="A102" s="25"/>
      <c r="B102" s="25"/>
      <c r="D102" s="25"/>
      <c r="E102" s="22"/>
      <c r="F102" s="21"/>
      <c r="G102" s="25"/>
      <c r="H102" s="25"/>
      <c r="I102" s="25"/>
      <c r="J102" s="25"/>
      <c r="K102" s="25"/>
      <c r="L102" s="25"/>
    </row>
    <row r="103" spans="1:12" ht="15.75" customHeight="1">
      <c r="A103" s="25"/>
      <c r="B103" s="25"/>
      <c r="D103" s="25"/>
      <c r="E103" s="22" t="s">
        <v>5</v>
      </c>
      <c r="F103" s="21"/>
      <c r="G103" s="25"/>
      <c r="H103" s="25"/>
      <c r="I103" s="25"/>
      <c r="J103" s="25"/>
      <c r="K103" s="25"/>
      <c r="L103" s="25"/>
    </row>
    <row r="104" spans="1:12" ht="15.75" customHeight="1">
      <c r="A104" s="25"/>
      <c r="B104" s="25"/>
      <c r="D104" s="25"/>
      <c r="E104" s="29"/>
      <c r="F104" s="21"/>
      <c r="G104" s="25"/>
      <c r="H104" s="25"/>
      <c r="I104" s="25"/>
      <c r="J104" s="25"/>
      <c r="K104" s="25"/>
      <c r="L104" s="25"/>
    </row>
    <row r="105" spans="1:12" ht="15.75" customHeight="1">
      <c r="A105" s="25"/>
      <c r="B105" s="25"/>
      <c r="D105" s="25"/>
      <c r="E105" s="29"/>
      <c r="F105" s="21"/>
      <c r="G105" s="25"/>
      <c r="H105" s="25"/>
      <c r="I105" s="25"/>
      <c r="J105" s="25"/>
      <c r="K105" s="25"/>
      <c r="L105" s="25"/>
    </row>
    <row r="106" spans="1:12" ht="15.75" customHeight="1">
      <c r="A106" s="25"/>
      <c r="B106" s="25"/>
      <c r="D106" s="25"/>
      <c r="E106" s="29"/>
      <c r="F106" s="21"/>
      <c r="G106" s="25"/>
      <c r="H106" s="25"/>
      <c r="I106" s="25"/>
      <c r="J106" s="25"/>
      <c r="K106" s="25"/>
      <c r="L106" s="25"/>
    </row>
    <row r="107" spans="1:12" ht="15.75" customHeight="1">
      <c r="A107" s="25"/>
      <c r="B107" s="25"/>
      <c r="D107" s="25"/>
      <c r="E107" s="29"/>
      <c r="F107" s="21"/>
      <c r="G107" s="25"/>
      <c r="H107" s="25"/>
      <c r="I107" s="25"/>
      <c r="J107" s="25"/>
      <c r="K107" s="25"/>
      <c r="L107" s="25"/>
    </row>
    <row r="108" spans="1:12" ht="15.75" customHeight="1">
      <c r="A108" s="25"/>
      <c r="B108" s="25"/>
      <c r="D108" s="25"/>
      <c r="E108" s="29"/>
      <c r="F108" s="21"/>
      <c r="G108" s="25"/>
      <c r="H108" s="25"/>
      <c r="I108" s="25"/>
      <c r="J108" s="25"/>
      <c r="K108" s="25"/>
      <c r="L108" s="25"/>
    </row>
    <row r="109" spans="1:12" ht="15.75" customHeight="1">
      <c r="A109" s="25"/>
      <c r="B109" s="25"/>
      <c r="D109" s="25"/>
      <c r="E109" s="29"/>
      <c r="F109" s="21"/>
      <c r="G109" s="25"/>
      <c r="H109" s="25"/>
      <c r="I109" s="25"/>
      <c r="J109" s="25"/>
      <c r="K109" s="25"/>
      <c r="L109" s="25"/>
    </row>
    <row r="110" spans="1:12" ht="15.75" customHeight="1">
      <c r="A110" s="25"/>
      <c r="B110" s="25"/>
      <c r="D110" s="25"/>
      <c r="E110" s="29"/>
      <c r="F110" s="21"/>
      <c r="G110" s="25"/>
      <c r="H110" s="25"/>
      <c r="I110" s="25"/>
      <c r="J110" s="25"/>
      <c r="K110" s="25"/>
      <c r="L110" s="25"/>
    </row>
    <row r="111" spans="1:12" ht="15.75" customHeight="1">
      <c r="A111" s="25"/>
      <c r="B111" s="25"/>
      <c r="D111" s="25"/>
      <c r="E111" s="29"/>
      <c r="F111" s="21"/>
      <c r="G111" s="25"/>
      <c r="H111" s="25"/>
      <c r="I111" s="25"/>
      <c r="J111" s="25"/>
      <c r="K111" s="25"/>
      <c r="L111" s="25"/>
    </row>
    <row r="112" spans="1:12" ht="15.75" customHeight="1">
      <c r="A112" s="25"/>
      <c r="B112" s="25"/>
      <c r="D112" s="25"/>
      <c r="E112" s="29"/>
      <c r="F112" s="21"/>
      <c r="G112" s="25"/>
      <c r="H112" s="25"/>
      <c r="I112" s="25"/>
      <c r="J112" s="25"/>
      <c r="K112" s="25"/>
      <c r="L112" s="25"/>
    </row>
    <row r="113" spans="1:12" ht="15.75" customHeight="1">
      <c r="A113" s="25"/>
      <c r="B113" s="25"/>
      <c r="D113" s="25"/>
      <c r="E113" s="29"/>
      <c r="F113" s="21"/>
      <c r="G113" s="25"/>
      <c r="H113" s="25"/>
      <c r="I113" s="25"/>
      <c r="J113" s="25"/>
      <c r="K113" s="25"/>
      <c r="L113" s="25"/>
    </row>
    <row r="114" spans="1:12" ht="15.75" customHeight="1">
      <c r="A114" s="25"/>
      <c r="B114" s="25"/>
      <c r="D114" s="25"/>
      <c r="E114" s="29"/>
      <c r="F114" s="21"/>
      <c r="G114" s="25"/>
      <c r="H114" s="25"/>
      <c r="I114" s="25"/>
      <c r="J114" s="25"/>
      <c r="K114" s="25"/>
      <c r="L114" s="25"/>
    </row>
    <row r="115" spans="1:12" ht="15.75" customHeight="1">
      <c r="A115" s="25"/>
      <c r="B115" s="25"/>
      <c r="D115" s="25"/>
      <c r="E115" s="29"/>
      <c r="F115" s="21"/>
      <c r="G115" s="25"/>
      <c r="H115" s="25"/>
      <c r="I115" s="25"/>
      <c r="J115" s="25"/>
      <c r="K115" s="25"/>
      <c r="L115" s="25"/>
    </row>
    <row r="116" spans="1:12" ht="15.75" customHeight="1">
      <c r="A116" s="25"/>
      <c r="B116" s="25"/>
      <c r="D116" s="25"/>
      <c r="E116" s="29"/>
      <c r="F116" s="21"/>
      <c r="G116" s="25"/>
      <c r="H116" s="25"/>
      <c r="I116" s="25"/>
      <c r="J116" s="25"/>
      <c r="K116" s="25"/>
      <c r="L116" s="25"/>
    </row>
    <row r="117" spans="1:12" ht="15.75" customHeight="1">
      <c r="A117" s="25"/>
      <c r="B117" s="25"/>
      <c r="D117" s="25"/>
      <c r="E117" s="29"/>
      <c r="F117" s="21"/>
      <c r="G117" s="25"/>
      <c r="H117" s="25"/>
      <c r="I117" s="25"/>
      <c r="J117" s="25"/>
      <c r="K117" s="25"/>
      <c r="L117" s="25"/>
    </row>
    <row r="118" spans="1:12" ht="15.75" customHeight="1">
      <c r="A118" s="25"/>
      <c r="B118" s="25"/>
      <c r="D118" s="25"/>
      <c r="E118" s="29"/>
      <c r="F118" s="21"/>
      <c r="G118" s="25"/>
      <c r="H118" s="25"/>
      <c r="I118" s="25"/>
      <c r="J118" s="25"/>
      <c r="K118" s="25"/>
      <c r="L118" s="25"/>
    </row>
    <row r="119" spans="1:12" ht="15.75" customHeight="1">
      <c r="A119" s="25"/>
      <c r="B119" s="25"/>
      <c r="D119" s="25"/>
      <c r="E119" s="29"/>
      <c r="F119" s="21"/>
      <c r="G119" s="25"/>
      <c r="H119" s="25"/>
      <c r="I119" s="25"/>
      <c r="J119" s="25"/>
      <c r="K119" s="25"/>
      <c r="L119" s="25"/>
    </row>
    <row r="120" spans="1:12" ht="15.75" customHeight="1">
      <c r="A120" s="25"/>
      <c r="B120" s="25"/>
      <c r="D120" s="25"/>
      <c r="E120" s="29"/>
      <c r="F120" s="21"/>
      <c r="G120" s="25"/>
      <c r="H120" s="25"/>
      <c r="I120" s="25"/>
      <c r="J120" s="25"/>
      <c r="K120" s="25"/>
      <c r="L120" s="25"/>
    </row>
    <row r="121" spans="1:12" ht="15.75" customHeight="1">
      <c r="A121" s="25"/>
      <c r="B121" s="25"/>
      <c r="D121" s="25"/>
      <c r="E121" s="29"/>
      <c r="F121" s="21"/>
      <c r="G121" s="25"/>
      <c r="H121" s="25"/>
      <c r="I121" s="25"/>
      <c r="J121" s="25"/>
      <c r="K121" s="25"/>
      <c r="L121" s="25"/>
    </row>
    <row r="122" spans="1:12" ht="15.75" customHeight="1">
      <c r="A122" s="25"/>
      <c r="B122" s="25"/>
      <c r="D122" s="25"/>
      <c r="E122" s="29"/>
      <c r="F122" s="21"/>
      <c r="G122" s="25"/>
      <c r="H122" s="25"/>
      <c r="I122" s="25"/>
      <c r="J122" s="25"/>
      <c r="K122" s="25"/>
      <c r="L122" s="25"/>
    </row>
    <row r="123" spans="1:12" ht="15.75" customHeight="1">
      <c r="A123" s="25"/>
      <c r="B123" s="25"/>
      <c r="D123" s="25"/>
      <c r="E123" s="29"/>
      <c r="F123" s="21"/>
      <c r="G123" s="25"/>
      <c r="H123" s="25"/>
      <c r="I123" s="25"/>
      <c r="J123" s="25"/>
      <c r="K123" s="25"/>
      <c r="L123" s="25"/>
    </row>
    <row r="124" spans="1:12" ht="15.75" customHeight="1">
      <c r="A124" s="25"/>
      <c r="B124" s="25"/>
      <c r="D124" s="25"/>
      <c r="E124" s="29"/>
      <c r="F124" s="21"/>
      <c r="G124" s="25"/>
      <c r="H124" s="25"/>
      <c r="I124" s="25"/>
      <c r="J124" s="25"/>
      <c r="K124" s="25"/>
      <c r="L124" s="25"/>
    </row>
    <row r="125" spans="1:12" ht="15.75" customHeight="1">
      <c r="A125" s="25"/>
      <c r="B125" s="25"/>
      <c r="D125" s="25"/>
      <c r="E125" s="29"/>
      <c r="F125" s="21"/>
      <c r="G125" s="25"/>
      <c r="H125" s="25"/>
      <c r="I125" s="25"/>
      <c r="J125" s="25"/>
      <c r="K125" s="25"/>
      <c r="L125" s="25"/>
    </row>
    <row r="126" spans="1:12" ht="15.75" customHeight="1">
      <c r="A126" s="25"/>
      <c r="B126" s="25"/>
      <c r="D126" s="25"/>
      <c r="E126" s="29"/>
      <c r="F126" s="21"/>
      <c r="G126" s="25"/>
      <c r="H126" s="25"/>
      <c r="I126" s="25"/>
      <c r="J126" s="25"/>
      <c r="K126" s="25"/>
      <c r="L126" s="25"/>
    </row>
    <row r="127" spans="1:12" ht="15.75" customHeight="1">
      <c r="A127" s="25"/>
      <c r="B127" s="25"/>
      <c r="D127" s="25"/>
      <c r="E127" s="29"/>
      <c r="F127" s="21"/>
      <c r="G127" s="25"/>
      <c r="H127" s="25"/>
      <c r="I127" s="25"/>
      <c r="J127" s="25"/>
      <c r="K127" s="25"/>
      <c r="L127" s="25"/>
    </row>
    <row r="128" spans="1:12" ht="15.75" customHeight="1">
      <c r="A128" s="25"/>
      <c r="B128" s="25"/>
      <c r="D128" s="25"/>
      <c r="E128" s="29"/>
      <c r="F128" s="21"/>
      <c r="G128" s="25"/>
      <c r="H128" s="25"/>
      <c r="I128" s="25"/>
      <c r="J128" s="25"/>
      <c r="K128" s="25"/>
      <c r="L128" s="25"/>
    </row>
    <row r="129" spans="1:12" ht="15.75" customHeight="1">
      <c r="A129" s="25"/>
      <c r="B129" s="25"/>
      <c r="D129" s="25"/>
      <c r="E129" s="29"/>
      <c r="F129" s="21"/>
      <c r="G129" s="25"/>
      <c r="H129" s="25"/>
      <c r="I129" s="25"/>
      <c r="J129" s="25"/>
      <c r="K129" s="25"/>
      <c r="L129" s="25"/>
    </row>
    <row r="130" spans="1:12" ht="15.75" customHeight="1">
      <c r="A130" s="25"/>
      <c r="B130" s="25"/>
      <c r="D130" s="25"/>
      <c r="E130" s="29"/>
      <c r="F130" s="21"/>
      <c r="G130" s="25"/>
      <c r="H130" s="25"/>
      <c r="I130" s="25"/>
      <c r="J130" s="25"/>
      <c r="K130" s="25"/>
      <c r="L130" s="25"/>
    </row>
    <row r="131" spans="1:12" ht="15.75" customHeight="1">
      <c r="A131" s="25"/>
      <c r="B131" s="25"/>
      <c r="D131" s="25"/>
      <c r="E131" s="25"/>
      <c r="F131" s="21"/>
      <c r="G131" s="25"/>
      <c r="H131" s="25"/>
      <c r="I131" s="25"/>
      <c r="J131" s="25"/>
      <c r="K131" s="25"/>
      <c r="L131" s="25"/>
    </row>
    <row r="132" spans="1:12" ht="15.75" customHeight="1">
      <c r="A132" s="25"/>
      <c r="B132" s="25"/>
      <c r="D132" s="25"/>
      <c r="E132" s="25"/>
      <c r="F132" s="21"/>
      <c r="G132" s="25"/>
      <c r="H132" s="25"/>
      <c r="I132" s="25"/>
      <c r="J132" s="25"/>
      <c r="K132" s="25"/>
      <c r="L132" s="25"/>
    </row>
    <row r="133" spans="1:12" ht="15.75" customHeight="1">
      <c r="A133" s="25"/>
      <c r="B133" s="25"/>
      <c r="D133" s="25"/>
      <c r="E133" s="25"/>
      <c r="F133" s="21"/>
      <c r="G133" s="25"/>
      <c r="H133" s="25"/>
      <c r="I133" s="25"/>
      <c r="J133" s="25"/>
      <c r="K133" s="25"/>
      <c r="L133" s="25"/>
    </row>
    <row r="134" spans="1:12" ht="15.75" customHeight="1">
      <c r="A134" s="25"/>
      <c r="B134" s="25"/>
      <c r="D134" s="25"/>
      <c r="E134" s="25"/>
      <c r="F134" s="21"/>
      <c r="G134" s="25"/>
      <c r="H134" s="25"/>
      <c r="I134" s="25"/>
      <c r="J134" s="25"/>
      <c r="K134" s="25"/>
      <c r="L134" s="25"/>
    </row>
    <row r="135" spans="1:12" ht="15.75" customHeight="1">
      <c r="A135" s="25"/>
      <c r="B135" s="25"/>
      <c r="D135" s="25"/>
      <c r="E135" s="25"/>
      <c r="F135" s="21"/>
      <c r="G135" s="25"/>
      <c r="H135" s="25"/>
      <c r="I135" s="25"/>
      <c r="J135" s="25"/>
      <c r="K135" s="25"/>
      <c r="L135" s="25"/>
    </row>
    <row r="136" spans="1:12" ht="15.75" customHeight="1">
      <c r="A136" s="25"/>
      <c r="B136" s="25"/>
      <c r="D136" s="25"/>
      <c r="E136" s="25"/>
      <c r="F136" s="21"/>
      <c r="G136" s="25"/>
      <c r="H136" s="25"/>
      <c r="I136" s="25"/>
      <c r="J136" s="25"/>
      <c r="K136" s="25"/>
      <c r="L136" s="25"/>
    </row>
    <row r="137" spans="1:12" ht="15.75" customHeight="1">
      <c r="A137" s="25"/>
      <c r="B137" s="25"/>
      <c r="D137" s="25"/>
      <c r="E137" s="25"/>
      <c r="F137" s="21"/>
      <c r="G137" s="25"/>
      <c r="H137" s="25"/>
      <c r="I137" s="25"/>
      <c r="J137" s="25"/>
      <c r="K137" s="25"/>
      <c r="L137" s="25"/>
    </row>
    <row r="138" spans="1:12" ht="15.75" customHeight="1">
      <c r="A138" s="25"/>
      <c r="B138" s="25"/>
      <c r="D138" s="25"/>
      <c r="E138" s="25"/>
      <c r="F138" s="21"/>
      <c r="G138" s="25"/>
      <c r="H138" s="25"/>
      <c r="I138" s="25"/>
      <c r="J138" s="25"/>
      <c r="K138" s="25"/>
      <c r="L138" s="25"/>
    </row>
    <row r="139" spans="1:12" ht="15.75" customHeight="1">
      <c r="A139" s="25"/>
      <c r="B139" s="25"/>
      <c r="D139" s="25"/>
      <c r="E139" s="25"/>
      <c r="F139" s="21"/>
      <c r="G139" s="25"/>
      <c r="H139" s="25"/>
      <c r="I139" s="25"/>
      <c r="J139" s="25"/>
      <c r="K139" s="25"/>
      <c r="L139" s="25"/>
    </row>
    <row r="140" spans="1:12" ht="15.75" customHeight="1">
      <c r="A140" s="25"/>
      <c r="B140" s="25"/>
      <c r="D140" s="25"/>
      <c r="E140" s="25"/>
      <c r="F140" s="21"/>
      <c r="G140" s="25"/>
      <c r="H140" s="25"/>
      <c r="I140" s="25"/>
      <c r="J140" s="25"/>
      <c r="K140" s="25"/>
      <c r="L140" s="25"/>
    </row>
    <row r="141" spans="1:12" ht="15.75" customHeight="1">
      <c r="A141" s="25"/>
      <c r="B141" s="25"/>
      <c r="D141" s="25"/>
      <c r="E141" s="25"/>
      <c r="F141" s="21"/>
      <c r="G141" s="25"/>
      <c r="H141" s="25"/>
      <c r="I141" s="25"/>
      <c r="J141" s="25"/>
      <c r="K141" s="25"/>
      <c r="L141" s="25"/>
    </row>
    <row r="142" spans="1:12" ht="15.75" customHeight="1">
      <c r="A142" s="25"/>
      <c r="B142" s="25"/>
      <c r="D142" s="25"/>
      <c r="E142" s="25"/>
      <c r="F142" s="21"/>
      <c r="G142" s="25"/>
      <c r="H142" s="25"/>
      <c r="I142" s="25"/>
      <c r="J142" s="25"/>
      <c r="K142" s="25"/>
      <c r="L142" s="25"/>
    </row>
    <row r="143" spans="1:12" ht="15.75" customHeight="1">
      <c r="A143" s="25"/>
      <c r="B143" s="25"/>
      <c r="D143" s="25"/>
      <c r="E143" s="25"/>
      <c r="F143" s="21"/>
      <c r="G143" s="25"/>
      <c r="H143" s="25"/>
      <c r="I143" s="25"/>
      <c r="J143" s="25"/>
      <c r="K143" s="25"/>
      <c r="L143" s="25"/>
    </row>
    <row r="144" spans="1:12" ht="15.75" customHeight="1">
      <c r="A144" s="25"/>
      <c r="B144" s="25"/>
      <c r="D144" s="25"/>
      <c r="E144" s="25"/>
      <c r="F144" s="21"/>
      <c r="G144" s="25"/>
      <c r="H144" s="25"/>
      <c r="I144" s="25"/>
      <c r="J144" s="25"/>
      <c r="K144" s="25"/>
      <c r="L144" s="25"/>
    </row>
    <row r="145" spans="1:12" ht="15.75" customHeight="1">
      <c r="A145" s="25"/>
      <c r="B145" s="25"/>
      <c r="D145" s="25"/>
      <c r="E145" s="25"/>
      <c r="F145" s="21"/>
      <c r="G145" s="25"/>
      <c r="H145" s="25"/>
      <c r="I145" s="25"/>
      <c r="J145" s="25"/>
      <c r="K145" s="25"/>
      <c r="L145" s="25"/>
    </row>
    <row r="146" spans="1:12" ht="15.75" customHeight="1">
      <c r="A146" s="25"/>
      <c r="B146" s="25"/>
      <c r="D146" s="25"/>
      <c r="E146" s="25"/>
      <c r="F146" s="21"/>
      <c r="G146" s="25"/>
      <c r="H146" s="25"/>
      <c r="I146" s="25"/>
      <c r="J146" s="25"/>
      <c r="K146" s="25"/>
      <c r="L146" s="25"/>
    </row>
    <row r="147" spans="1:12" ht="15.75" customHeight="1">
      <c r="A147" s="25"/>
      <c r="B147" s="25"/>
      <c r="D147" s="25"/>
      <c r="E147" s="25"/>
      <c r="F147" s="21"/>
      <c r="G147" s="25"/>
      <c r="H147" s="25"/>
      <c r="I147" s="25"/>
      <c r="J147" s="25"/>
      <c r="K147" s="25"/>
      <c r="L147" s="25"/>
    </row>
    <row r="148" spans="1:12" ht="15.75" customHeight="1">
      <c r="A148" s="25"/>
      <c r="B148" s="25"/>
      <c r="D148" s="25"/>
      <c r="E148" s="25"/>
      <c r="F148" s="21"/>
      <c r="G148" s="25"/>
      <c r="H148" s="25"/>
      <c r="I148" s="25"/>
      <c r="J148" s="25"/>
      <c r="K148" s="25"/>
      <c r="L148" s="25"/>
    </row>
    <row r="149" spans="1:12" ht="15.75" customHeight="1">
      <c r="A149" s="25"/>
      <c r="B149" s="25"/>
      <c r="D149" s="25"/>
      <c r="E149" s="25"/>
      <c r="F149" s="21"/>
      <c r="G149" s="25"/>
      <c r="H149" s="25"/>
      <c r="I149" s="25"/>
      <c r="J149" s="25"/>
      <c r="K149" s="25"/>
      <c r="L149" s="25"/>
    </row>
    <row r="150" spans="1:12" ht="15.75" customHeight="1">
      <c r="A150" s="25"/>
      <c r="B150" s="25"/>
      <c r="D150" s="25"/>
      <c r="E150" s="25"/>
      <c r="F150" s="21"/>
      <c r="G150" s="25"/>
      <c r="H150" s="25"/>
      <c r="I150" s="25"/>
      <c r="J150" s="25"/>
      <c r="K150" s="25"/>
      <c r="L150" s="25"/>
    </row>
    <row r="151" spans="1:12" ht="15.75" customHeight="1">
      <c r="A151" s="25"/>
      <c r="B151" s="25"/>
      <c r="D151" s="25"/>
      <c r="E151" s="21"/>
      <c r="F151" s="21"/>
      <c r="G151" s="25"/>
      <c r="H151" s="25"/>
      <c r="I151" s="25"/>
      <c r="J151" s="25"/>
      <c r="K151" s="25"/>
      <c r="L151" s="25"/>
    </row>
    <row r="152" spans="1:12" ht="15.75" customHeight="1">
      <c r="A152" s="25"/>
      <c r="B152" s="25"/>
      <c r="D152" s="25"/>
      <c r="E152" s="22"/>
      <c r="F152" s="21"/>
      <c r="G152" s="25"/>
      <c r="H152" s="25"/>
      <c r="I152" s="25"/>
      <c r="J152" s="25"/>
      <c r="K152" s="25"/>
      <c r="L152" s="25"/>
    </row>
    <row r="153" spans="1:12" ht="15.75" customHeight="1">
      <c r="A153" s="25"/>
      <c r="B153" s="25"/>
      <c r="D153" s="25"/>
      <c r="E153" s="22" t="s">
        <v>5</v>
      </c>
      <c r="F153" s="21"/>
      <c r="G153" s="25"/>
      <c r="H153" s="25"/>
      <c r="I153" s="25"/>
      <c r="J153" s="25"/>
      <c r="K153" s="25"/>
      <c r="L153" s="25"/>
    </row>
    <row r="154" spans="1:12" ht="15.75" customHeight="1">
      <c r="A154" s="25"/>
      <c r="B154" s="25"/>
      <c r="D154" s="25"/>
      <c r="E154" s="29"/>
      <c r="F154" s="21"/>
      <c r="G154" s="25"/>
      <c r="H154" s="25"/>
      <c r="I154" s="25"/>
      <c r="J154" s="25"/>
      <c r="K154" s="25"/>
      <c r="L154" s="25"/>
    </row>
    <row r="155" spans="1:12" ht="15.75" customHeight="1">
      <c r="A155" s="25"/>
      <c r="B155" s="25"/>
      <c r="D155" s="25"/>
      <c r="E155" s="29"/>
      <c r="F155" s="21"/>
      <c r="G155" s="25"/>
      <c r="H155" s="25"/>
      <c r="I155" s="25"/>
      <c r="J155" s="25"/>
      <c r="K155" s="25"/>
      <c r="L155" s="25"/>
    </row>
    <row r="156" spans="1:12" ht="15.75" customHeight="1">
      <c r="A156" s="25"/>
      <c r="B156" s="25"/>
      <c r="D156" s="25"/>
      <c r="E156" s="29"/>
      <c r="F156" s="21"/>
      <c r="G156" s="25"/>
      <c r="H156" s="25"/>
      <c r="I156" s="25"/>
      <c r="J156" s="25"/>
      <c r="K156" s="25"/>
      <c r="L156" s="25"/>
    </row>
    <row r="157" spans="1:12" ht="15.75" customHeight="1">
      <c r="A157" s="25"/>
      <c r="B157" s="25"/>
      <c r="D157" s="25"/>
      <c r="E157" s="29"/>
      <c r="F157" s="21"/>
      <c r="G157" s="25"/>
      <c r="H157" s="25"/>
      <c r="I157" s="25"/>
      <c r="J157" s="25"/>
      <c r="K157" s="25"/>
      <c r="L157" s="25"/>
    </row>
    <row r="158" spans="1:12" ht="15.75" customHeight="1">
      <c r="A158" s="25"/>
      <c r="B158" s="25"/>
      <c r="D158" s="25"/>
      <c r="E158" s="29"/>
      <c r="F158" s="21"/>
      <c r="G158" s="25"/>
      <c r="H158" s="25"/>
      <c r="I158" s="25"/>
      <c r="J158" s="25"/>
      <c r="K158" s="25"/>
      <c r="L158" s="25"/>
    </row>
    <row r="159" spans="1:12" ht="15.75" customHeight="1">
      <c r="A159" s="25"/>
      <c r="B159" s="25"/>
      <c r="D159" s="25"/>
      <c r="E159" s="29"/>
      <c r="F159" s="21"/>
      <c r="G159" s="25"/>
      <c r="H159" s="25"/>
      <c r="I159" s="25"/>
      <c r="J159" s="25"/>
      <c r="K159" s="25"/>
      <c r="L159" s="25"/>
    </row>
    <row r="160" spans="1:12" ht="15.75" customHeight="1">
      <c r="A160" s="25"/>
      <c r="B160" s="25"/>
      <c r="D160" s="25"/>
      <c r="E160" s="29"/>
      <c r="F160" s="21"/>
      <c r="G160" s="25"/>
      <c r="H160" s="25"/>
      <c r="I160" s="25"/>
      <c r="J160" s="25"/>
      <c r="K160" s="25"/>
      <c r="L160" s="25"/>
    </row>
    <row r="161" spans="1:12" ht="15.75" customHeight="1">
      <c r="A161" s="25"/>
      <c r="B161" s="25"/>
      <c r="D161" s="25"/>
      <c r="E161" s="29"/>
      <c r="F161" s="21"/>
      <c r="G161" s="25"/>
      <c r="H161" s="25"/>
      <c r="I161" s="25"/>
      <c r="J161" s="25"/>
      <c r="K161" s="25"/>
      <c r="L161" s="25"/>
    </row>
    <row r="162" spans="1:12" ht="15.75" customHeight="1">
      <c r="A162" s="25"/>
      <c r="B162" s="25"/>
      <c r="D162" s="25"/>
      <c r="E162" s="29"/>
      <c r="F162" s="21"/>
      <c r="G162" s="25"/>
      <c r="H162" s="25"/>
      <c r="I162" s="25"/>
      <c r="J162" s="25"/>
      <c r="K162" s="25"/>
      <c r="L162" s="25"/>
    </row>
    <row r="163" spans="1:12" ht="15.75" customHeight="1">
      <c r="A163" s="25"/>
      <c r="B163" s="25"/>
      <c r="D163" s="25"/>
      <c r="E163" s="29"/>
      <c r="F163" s="21"/>
      <c r="G163" s="25"/>
      <c r="H163" s="25"/>
      <c r="I163" s="25"/>
      <c r="J163" s="25"/>
      <c r="K163" s="25"/>
      <c r="L163" s="25"/>
    </row>
    <row r="164" spans="1:12" ht="15.75" customHeight="1">
      <c r="A164" s="25"/>
      <c r="B164" s="25"/>
      <c r="D164" s="25"/>
      <c r="E164" s="29"/>
      <c r="F164" s="21"/>
      <c r="G164" s="25"/>
      <c r="H164" s="25"/>
      <c r="I164" s="25"/>
      <c r="J164" s="25"/>
      <c r="K164" s="25"/>
      <c r="L164" s="25"/>
    </row>
    <row r="165" spans="1:12" ht="15.75" customHeight="1">
      <c r="A165" s="25"/>
      <c r="B165" s="25"/>
      <c r="D165" s="25"/>
      <c r="E165" s="29"/>
      <c r="F165" s="21"/>
      <c r="G165" s="25"/>
      <c r="H165" s="25"/>
      <c r="I165" s="25"/>
      <c r="J165" s="25"/>
      <c r="K165" s="25"/>
      <c r="L165" s="25"/>
    </row>
    <row r="166" spans="1:12" ht="15.75" customHeight="1">
      <c r="A166" s="25"/>
      <c r="B166" s="25"/>
      <c r="D166" s="25"/>
      <c r="E166" s="29"/>
      <c r="F166" s="21"/>
      <c r="G166" s="25"/>
      <c r="H166" s="25"/>
      <c r="I166" s="25"/>
      <c r="J166" s="25"/>
      <c r="K166" s="25"/>
      <c r="L166" s="25"/>
    </row>
    <row r="167" spans="1:12" ht="15.75" customHeight="1">
      <c r="A167" s="25"/>
      <c r="B167" s="25"/>
      <c r="D167" s="25"/>
      <c r="E167" s="29"/>
      <c r="F167" s="21"/>
      <c r="G167" s="25"/>
      <c r="H167" s="25"/>
      <c r="I167" s="25"/>
      <c r="J167" s="25"/>
      <c r="K167" s="25"/>
      <c r="L167" s="25"/>
    </row>
    <row r="168" spans="1:12" ht="15.75" customHeight="1">
      <c r="A168" s="25"/>
      <c r="B168" s="25"/>
      <c r="D168" s="25"/>
      <c r="E168" s="29"/>
      <c r="F168" s="21"/>
      <c r="G168" s="25"/>
      <c r="H168" s="25"/>
      <c r="I168" s="25"/>
      <c r="J168" s="25"/>
      <c r="K168" s="25"/>
      <c r="L168" s="25"/>
    </row>
    <row r="169" spans="1:12" ht="15.75" customHeight="1">
      <c r="A169" s="25"/>
      <c r="B169" s="25"/>
      <c r="D169" s="25"/>
      <c r="E169" s="29"/>
      <c r="F169" s="21"/>
      <c r="G169" s="25"/>
      <c r="H169" s="25"/>
      <c r="I169" s="25"/>
      <c r="J169" s="25"/>
      <c r="K169" s="25"/>
      <c r="L169" s="25"/>
    </row>
    <row r="170" spans="1:12" ht="15.75" customHeight="1">
      <c r="A170" s="25"/>
      <c r="B170" s="25"/>
      <c r="D170" s="25"/>
      <c r="E170" s="29"/>
      <c r="F170" s="21"/>
      <c r="G170" s="25"/>
      <c r="H170" s="25"/>
      <c r="I170" s="25"/>
      <c r="J170" s="25"/>
      <c r="K170" s="25"/>
      <c r="L170" s="25"/>
    </row>
    <row r="171" spans="1:12" ht="15.75" customHeight="1">
      <c r="A171" s="25"/>
      <c r="B171" s="25"/>
      <c r="D171" s="25"/>
      <c r="E171" s="29"/>
      <c r="F171" s="21"/>
      <c r="G171" s="25"/>
      <c r="H171" s="25"/>
      <c r="I171" s="25"/>
      <c r="J171" s="25"/>
      <c r="K171" s="25"/>
      <c r="L171" s="25"/>
    </row>
    <row r="172" spans="1:12" ht="15.75" customHeight="1">
      <c r="A172" s="25"/>
      <c r="B172" s="25"/>
      <c r="D172" s="25"/>
      <c r="E172" s="29"/>
      <c r="F172" s="21"/>
      <c r="G172" s="25"/>
      <c r="H172" s="25"/>
      <c r="I172" s="25"/>
      <c r="J172" s="25"/>
      <c r="K172" s="25"/>
      <c r="L172" s="25"/>
    </row>
    <row r="173" spans="1:12" ht="15.75" customHeight="1">
      <c r="A173" s="25"/>
      <c r="B173" s="25"/>
      <c r="D173" s="25"/>
      <c r="E173" s="29"/>
      <c r="F173" s="21"/>
      <c r="G173" s="25"/>
      <c r="H173" s="25"/>
      <c r="I173" s="25"/>
      <c r="J173" s="25"/>
      <c r="K173" s="25"/>
      <c r="L173" s="25"/>
    </row>
    <row r="174" spans="1:12" ht="15.75" customHeight="1">
      <c r="A174" s="25"/>
      <c r="B174" s="25"/>
      <c r="D174" s="25"/>
      <c r="E174" s="29"/>
      <c r="F174" s="21"/>
      <c r="G174" s="25"/>
      <c r="H174" s="25"/>
      <c r="I174" s="25"/>
      <c r="J174" s="25"/>
      <c r="K174" s="25"/>
      <c r="L174" s="25"/>
    </row>
    <row r="175" spans="1:12" ht="15.75" customHeight="1">
      <c r="A175" s="25"/>
      <c r="B175" s="25"/>
      <c r="D175" s="25"/>
      <c r="E175" s="29"/>
      <c r="F175" s="21"/>
      <c r="G175" s="25"/>
      <c r="H175" s="25"/>
      <c r="I175" s="25"/>
      <c r="J175" s="25"/>
      <c r="K175" s="25"/>
      <c r="L175" s="25"/>
    </row>
    <row r="176" spans="1:12" ht="15.75" customHeight="1">
      <c r="A176" s="25"/>
      <c r="B176" s="25"/>
      <c r="D176" s="25"/>
      <c r="E176" s="29"/>
      <c r="F176" s="21"/>
      <c r="G176" s="25"/>
      <c r="H176" s="25"/>
      <c r="I176" s="25"/>
      <c r="J176" s="25"/>
      <c r="K176" s="25"/>
      <c r="L176" s="25"/>
    </row>
    <row r="177" spans="1:12" ht="15.75" customHeight="1">
      <c r="A177" s="25"/>
      <c r="B177" s="25"/>
      <c r="D177" s="25"/>
      <c r="E177" s="29"/>
      <c r="F177" s="21"/>
      <c r="G177" s="25"/>
      <c r="H177" s="25"/>
      <c r="I177" s="25"/>
      <c r="J177" s="25"/>
      <c r="K177" s="25"/>
      <c r="L177" s="25"/>
    </row>
    <row r="178" spans="1:12" ht="15.75" customHeight="1">
      <c r="A178" s="25"/>
      <c r="B178" s="25"/>
      <c r="D178" s="25"/>
      <c r="E178" s="29"/>
      <c r="F178" s="21"/>
      <c r="G178" s="25"/>
      <c r="H178" s="25"/>
      <c r="I178" s="25"/>
      <c r="J178" s="25"/>
      <c r="K178" s="25"/>
      <c r="L178" s="25"/>
    </row>
    <row r="179" spans="1:12" ht="15.75" customHeight="1">
      <c r="A179" s="25"/>
      <c r="B179" s="25"/>
      <c r="D179" s="25"/>
      <c r="E179" s="29"/>
      <c r="F179" s="21"/>
      <c r="G179" s="25"/>
      <c r="H179" s="25"/>
      <c r="I179" s="25"/>
      <c r="J179" s="25"/>
      <c r="K179" s="25"/>
      <c r="L179" s="25"/>
    </row>
    <row r="180" spans="1:12" ht="15.75" customHeight="1">
      <c r="A180" s="25"/>
      <c r="B180" s="25"/>
      <c r="D180" s="25"/>
      <c r="E180" s="29"/>
      <c r="F180" s="21"/>
      <c r="G180" s="25"/>
      <c r="H180" s="25"/>
      <c r="I180" s="25"/>
      <c r="J180" s="25"/>
      <c r="K180" s="25"/>
      <c r="L180" s="25"/>
    </row>
    <row r="181" spans="1:12" ht="15.75" customHeight="1">
      <c r="A181" s="25"/>
      <c r="B181" s="25"/>
      <c r="D181" s="25"/>
      <c r="E181" s="25"/>
      <c r="F181" s="21"/>
      <c r="G181" s="25"/>
      <c r="H181" s="25"/>
      <c r="I181" s="25"/>
      <c r="J181" s="25"/>
      <c r="K181" s="25"/>
      <c r="L181" s="25"/>
    </row>
    <row r="182" spans="1:12" ht="15.75" customHeight="1">
      <c r="A182" s="25"/>
      <c r="B182" s="25"/>
      <c r="D182" s="25"/>
      <c r="E182" s="25"/>
      <c r="F182" s="21"/>
      <c r="G182" s="25"/>
      <c r="H182" s="25"/>
      <c r="I182" s="25"/>
      <c r="J182" s="25"/>
      <c r="K182" s="25"/>
      <c r="L182" s="25"/>
    </row>
    <row r="183" spans="1:12" ht="15.75" customHeight="1">
      <c r="A183" s="25"/>
      <c r="B183" s="25"/>
      <c r="D183" s="25"/>
      <c r="E183" s="25"/>
      <c r="F183" s="21"/>
      <c r="G183" s="25"/>
      <c r="H183" s="25"/>
      <c r="I183" s="25"/>
      <c r="J183" s="25"/>
      <c r="K183" s="25"/>
      <c r="L183" s="25"/>
    </row>
    <row r="184" spans="1:12" ht="15.75" customHeight="1">
      <c r="A184" s="25"/>
      <c r="B184" s="25"/>
      <c r="D184" s="25"/>
      <c r="E184" s="25"/>
      <c r="F184" s="21"/>
      <c r="G184" s="25"/>
      <c r="H184" s="25"/>
      <c r="I184" s="25"/>
      <c r="J184" s="25"/>
      <c r="K184" s="25"/>
      <c r="L184" s="25"/>
    </row>
    <row r="185" spans="1:12" ht="15.75" customHeight="1">
      <c r="A185" s="25"/>
      <c r="B185" s="25"/>
      <c r="D185" s="25"/>
      <c r="E185" s="25"/>
      <c r="F185" s="21"/>
      <c r="G185" s="25"/>
      <c r="H185" s="25"/>
      <c r="I185" s="25"/>
      <c r="J185" s="25"/>
      <c r="K185" s="25"/>
      <c r="L185" s="25"/>
    </row>
    <row r="186" spans="1:12" ht="15.75" customHeight="1">
      <c r="A186" s="25"/>
      <c r="B186" s="25"/>
      <c r="D186" s="25"/>
      <c r="E186" s="25"/>
      <c r="F186" s="21"/>
      <c r="G186" s="25"/>
      <c r="H186" s="25"/>
      <c r="I186" s="25"/>
      <c r="J186" s="25"/>
      <c r="K186" s="25"/>
      <c r="L186" s="25"/>
    </row>
    <row r="187" spans="1:12" ht="15.75" customHeight="1">
      <c r="A187" s="25"/>
      <c r="B187" s="25"/>
      <c r="D187" s="25"/>
      <c r="E187" s="25"/>
      <c r="F187" s="21"/>
      <c r="G187" s="25"/>
      <c r="H187" s="25"/>
      <c r="I187" s="25"/>
      <c r="J187" s="25"/>
      <c r="K187" s="25"/>
      <c r="L187" s="25"/>
    </row>
    <row r="188" spans="1:12" ht="15.75" customHeight="1">
      <c r="E188" s="25"/>
      <c r="F188" s="21"/>
    </row>
    <row r="189" spans="1:12" ht="15.75" customHeight="1">
      <c r="E189" s="25"/>
      <c r="F189" s="21"/>
    </row>
    <row r="190" spans="1:12" ht="15.75" customHeight="1">
      <c r="E190" s="25"/>
      <c r="F190" s="21"/>
    </row>
    <row r="191" spans="1:12" ht="15.75" customHeight="1">
      <c r="E191" s="25"/>
      <c r="F191" s="21"/>
    </row>
    <row r="192" spans="1:12" ht="15.75" customHeight="1">
      <c r="E192" s="25"/>
      <c r="F192" s="21"/>
    </row>
    <row r="193" spans="5:6" ht="15.75" customHeight="1">
      <c r="E193" s="25"/>
      <c r="F193" s="21"/>
    </row>
    <row r="194" spans="5:6" ht="15.75" customHeight="1">
      <c r="E194" s="25"/>
      <c r="F194" s="21"/>
    </row>
    <row r="195" spans="5:6" ht="15.75" customHeight="1">
      <c r="E195" s="25"/>
      <c r="F195" s="21"/>
    </row>
    <row r="196" spans="5:6" ht="15.75" customHeight="1">
      <c r="E196" s="25"/>
      <c r="F196" s="21"/>
    </row>
    <row r="197" spans="5:6" ht="15.75" customHeight="1">
      <c r="E197" s="25"/>
      <c r="F197" s="21"/>
    </row>
    <row r="198" spans="5:6" ht="15.75" customHeight="1">
      <c r="E198" s="25"/>
      <c r="F198" s="21"/>
    </row>
    <row r="199" spans="5:6" ht="15.75" customHeight="1">
      <c r="E199" s="25"/>
      <c r="F199" s="21"/>
    </row>
    <row r="200" spans="5:6" ht="15.75" customHeight="1">
      <c r="E200" s="25"/>
      <c r="F200" s="21"/>
    </row>
    <row r="201" spans="5:6" ht="15.75" customHeight="1">
      <c r="E201" s="21"/>
      <c r="F201" s="21"/>
    </row>
    <row r="202" spans="5:6" ht="15.75" customHeight="1">
      <c r="E202" s="22"/>
      <c r="F202" s="21"/>
    </row>
    <row r="203" spans="5:6" ht="15.75" customHeight="1">
      <c r="E203" s="22" t="s">
        <v>5</v>
      </c>
      <c r="F203" s="21"/>
    </row>
    <row r="204" spans="5:6" ht="15.75" customHeight="1">
      <c r="E204" s="29"/>
      <c r="F204" s="21"/>
    </row>
    <row r="205" spans="5:6" ht="15.75" customHeight="1">
      <c r="E205" s="29"/>
      <c r="F205" s="21"/>
    </row>
    <row r="206" spans="5:6" ht="15.75" customHeight="1">
      <c r="E206" s="29"/>
      <c r="F206" s="21"/>
    </row>
    <row r="207" spans="5:6" ht="15.75" customHeight="1">
      <c r="E207" s="29"/>
      <c r="F207" s="21"/>
    </row>
    <row r="208" spans="5:6" ht="15.75" customHeight="1">
      <c r="E208" s="29"/>
      <c r="F208" s="21"/>
    </row>
    <row r="209" spans="5:6" ht="15.75" customHeight="1">
      <c r="E209" s="29"/>
      <c r="F209" s="21"/>
    </row>
    <row r="210" spans="5:6" ht="15.75" customHeight="1">
      <c r="E210" s="29"/>
      <c r="F210" s="21"/>
    </row>
    <row r="211" spans="5:6" ht="15.75" customHeight="1">
      <c r="E211" s="29"/>
      <c r="F211" s="21"/>
    </row>
    <row r="212" spans="5:6" ht="15.75" customHeight="1">
      <c r="E212" s="29"/>
      <c r="F212" s="21"/>
    </row>
    <row r="213" spans="5:6" ht="15.75" customHeight="1">
      <c r="E213" s="29"/>
      <c r="F213" s="21"/>
    </row>
    <row r="214" spans="5:6" ht="15.75" customHeight="1">
      <c r="E214" s="29"/>
      <c r="F214" s="21"/>
    </row>
    <row r="215" spans="5:6" ht="15.75" customHeight="1">
      <c r="E215" s="29"/>
      <c r="F215" s="21"/>
    </row>
    <row r="216" spans="5:6" ht="15.75" customHeight="1">
      <c r="E216" s="29"/>
      <c r="F216" s="21"/>
    </row>
    <row r="217" spans="5:6" ht="15.75" customHeight="1">
      <c r="E217" s="29"/>
      <c r="F217" s="21"/>
    </row>
    <row r="218" spans="5:6" ht="15.75" customHeight="1">
      <c r="E218" s="29"/>
      <c r="F218" s="21"/>
    </row>
    <row r="219" spans="5:6" ht="15.75" customHeight="1">
      <c r="E219" s="29"/>
      <c r="F219" s="21"/>
    </row>
    <row r="220" spans="5:6" ht="15.75" customHeight="1">
      <c r="E220" s="29"/>
      <c r="F220" s="21"/>
    </row>
    <row r="221" spans="5:6" ht="15.75" customHeight="1">
      <c r="E221" s="29"/>
      <c r="F221" s="21"/>
    </row>
    <row r="222" spans="5:6" ht="15.75" customHeight="1">
      <c r="E222" s="29"/>
      <c r="F222" s="21"/>
    </row>
    <row r="223" spans="5:6" ht="15.75" customHeight="1">
      <c r="E223" s="29"/>
      <c r="F223" s="21"/>
    </row>
    <row r="224" spans="5:6" ht="15.75" customHeight="1">
      <c r="E224" s="29"/>
      <c r="F224" s="21"/>
    </row>
    <row r="225" spans="5:6" ht="15.75" customHeight="1">
      <c r="E225" s="29"/>
      <c r="F225" s="21"/>
    </row>
    <row r="226" spans="5:6" ht="15.75" customHeight="1">
      <c r="E226" s="29"/>
      <c r="F226" s="21"/>
    </row>
    <row r="227" spans="5:6" ht="15.75" customHeight="1">
      <c r="E227" s="29"/>
      <c r="F227" s="21"/>
    </row>
    <row r="228" spans="5:6" ht="15.75" customHeight="1">
      <c r="E228" s="29"/>
      <c r="F228" s="21"/>
    </row>
    <row r="229" spans="5:6" ht="15.75" customHeight="1">
      <c r="E229" s="29"/>
      <c r="F229" s="21"/>
    </row>
    <row r="230" spans="5:6" ht="15.75" customHeight="1">
      <c r="E230" s="29"/>
      <c r="F230" s="21"/>
    </row>
    <row r="231" spans="5:6" ht="15.75" customHeight="1">
      <c r="E231" s="25"/>
      <c r="F231" s="21"/>
    </row>
    <row r="232" spans="5:6" ht="15.75" customHeight="1">
      <c r="E232" s="25"/>
      <c r="F232" s="21"/>
    </row>
    <row r="233" spans="5:6" ht="15.75" customHeight="1">
      <c r="E233" s="25"/>
      <c r="F233" s="21"/>
    </row>
    <row r="234" spans="5:6" ht="15.75" customHeight="1">
      <c r="E234" s="25"/>
      <c r="F234" s="21"/>
    </row>
    <row r="235" spans="5:6" ht="15.75" customHeight="1">
      <c r="E235" s="25"/>
      <c r="F235" s="21"/>
    </row>
    <row r="236" spans="5:6" ht="15.75" customHeight="1">
      <c r="E236" s="25"/>
      <c r="F236" s="21"/>
    </row>
    <row r="237" spans="5:6" ht="15.75" customHeight="1">
      <c r="E237" s="25"/>
      <c r="F237" s="21"/>
    </row>
    <row r="238" spans="5:6" ht="15.75" customHeight="1">
      <c r="E238" s="25"/>
      <c r="F238" s="21"/>
    </row>
    <row r="239" spans="5:6" ht="15.75" customHeight="1">
      <c r="E239" s="25"/>
      <c r="F239" s="21"/>
    </row>
    <row r="240" spans="5:6" ht="15.75" customHeight="1">
      <c r="E240" s="25"/>
      <c r="F240" s="21"/>
    </row>
    <row r="241" spans="5:6" ht="15.75" customHeight="1">
      <c r="E241" s="25"/>
      <c r="F241" s="21"/>
    </row>
    <row r="242" spans="5:6" ht="15.75" customHeight="1">
      <c r="E242" s="25"/>
      <c r="F242" s="21"/>
    </row>
    <row r="243" spans="5:6" ht="15.75" customHeight="1">
      <c r="E243" s="25"/>
      <c r="F243" s="21"/>
    </row>
    <row r="244" spans="5:6" ht="15.75" customHeight="1">
      <c r="E244" s="25"/>
      <c r="F244" s="21"/>
    </row>
    <row r="245" spans="5:6" ht="15.75" customHeight="1">
      <c r="E245" s="25"/>
      <c r="F245" s="21"/>
    </row>
    <row r="246" spans="5:6" ht="15.75" customHeight="1">
      <c r="E246" s="25"/>
      <c r="F246" s="21"/>
    </row>
    <row r="247" spans="5:6" ht="15.75" customHeight="1">
      <c r="E247" s="25"/>
      <c r="F247" s="21"/>
    </row>
    <row r="248" spans="5:6" ht="15.75" customHeight="1">
      <c r="E248" s="25"/>
      <c r="F248" s="21"/>
    </row>
    <row r="249" spans="5:6" ht="15.75" customHeight="1">
      <c r="E249" s="25"/>
      <c r="F249" s="21"/>
    </row>
    <row r="250" spans="5:6" ht="15.75" customHeight="1">
      <c r="E250" s="25"/>
      <c r="F250" s="21"/>
    </row>
    <row r="251" spans="5:6" ht="15.75" customHeight="1">
      <c r="E251" s="21"/>
      <c r="F251" s="21"/>
    </row>
    <row r="252" spans="5:6" ht="15.75" customHeight="1">
      <c r="E252" s="22"/>
      <c r="F252" s="21"/>
    </row>
    <row r="253" spans="5:6" ht="15.75" customHeight="1">
      <c r="E253" s="22" t="s">
        <v>5</v>
      </c>
      <c r="F253" s="21"/>
    </row>
    <row r="254" spans="5:6" ht="15.75" customHeight="1">
      <c r="E254" s="29"/>
      <c r="F254" s="21"/>
    </row>
    <row r="255" spans="5:6" ht="15.75" customHeight="1">
      <c r="E255" s="29"/>
      <c r="F255" s="21"/>
    </row>
    <row r="256" spans="5:6" ht="15.75" customHeight="1">
      <c r="E256" s="29"/>
      <c r="F256" s="21"/>
    </row>
    <row r="257" spans="5:6" ht="15.75" customHeight="1">
      <c r="E257" s="29"/>
      <c r="F257" s="21"/>
    </row>
    <row r="258" spans="5:6" ht="15.75" customHeight="1">
      <c r="E258" s="29"/>
      <c r="F258" s="21"/>
    </row>
    <row r="259" spans="5:6" ht="15.75" customHeight="1">
      <c r="E259" s="29"/>
      <c r="F259" s="21"/>
    </row>
    <row r="260" spans="5:6" ht="15.75" customHeight="1">
      <c r="E260" s="29"/>
      <c r="F260" s="21"/>
    </row>
    <row r="261" spans="5:6" ht="15.75" customHeight="1">
      <c r="E261" s="29"/>
      <c r="F261" s="21"/>
    </row>
    <row r="262" spans="5:6" ht="15.75" customHeight="1">
      <c r="E262" s="29"/>
      <c r="F262" s="21"/>
    </row>
    <row r="263" spans="5:6" ht="15.75" customHeight="1">
      <c r="E263" s="29"/>
      <c r="F263" s="21"/>
    </row>
    <row r="264" spans="5:6" ht="15.75" customHeight="1">
      <c r="E264" s="29"/>
      <c r="F264" s="21"/>
    </row>
    <row r="265" spans="5:6" ht="15.75" customHeight="1">
      <c r="E265" s="29"/>
      <c r="F265" s="21"/>
    </row>
    <row r="266" spans="5:6" ht="15.75" customHeight="1">
      <c r="E266" s="29"/>
      <c r="F266" s="21"/>
    </row>
    <row r="267" spans="5:6" ht="15.75" customHeight="1">
      <c r="E267" s="29"/>
      <c r="F267" s="21"/>
    </row>
    <row r="268" spans="5:6" ht="15.75" customHeight="1">
      <c r="E268" s="29"/>
      <c r="F268" s="21"/>
    </row>
    <row r="269" spans="5:6" ht="15.75" customHeight="1">
      <c r="E269" s="29"/>
      <c r="F269" s="21"/>
    </row>
    <row r="270" spans="5:6" ht="15.75" customHeight="1">
      <c r="E270" s="29"/>
      <c r="F270" s="21"/>
    </row>
    <row r="271" spans="5:6" ht="15.75" customHeight="1">
      <c r="E271" s="29"/>
      <c r="F271" s="21"/>
    </row>
    <row r="272" spans="5:6" ht="15.75" customHeight="1">
      <c r="E272" s="29"/>
      <c r="F272" s="21"/>
    </row>
    <row r="273" spans="5:6" ht="15.75" customHeight="1">
      <c r="E273" s="29"/>
      <c r="F273" s="21"/>
    </row>
    <row r="274" spans="5:6" ht="15.75" customHeight="1">
      <c r="E274" s="29"/>
      <c r="F274" s="21"/>
    </row>
    <row r="275" spans="5:6" ht="15.75" customHeight="1">
      <c r="E275" s="29"/>
      <c r="F275" s="21"/>
    </row>
    <row r="276" spans="5:6" ht="15.75" customHeight="1">
      <c r="E276" s="29"/>
      <c r="F276" s="21"/>
    </row>
    <row r="277" spans="5:6" ht="15.75" customHeight="1">
      <c r="E277" s="29"/>
      <c r="F277" s="21"/>
    </row>
    <row r="278" spans="5:6" ht="15.75" customHeight="1">
      <c r="E278" s="29"/>
      <c r="F278" s="21"/>
    </row>
    <row r="279" spans="5:6" ht="15.75" customHeight="1">
      <c r="E279" s="29"/>
      <c r="F279" s="21"/>
    </row>
    <row r="280" spans="5:6" ht="15.75" customHeight="1">
      <c r="E280" s="29"/>
      <c r="F280" s="21"/>
    </row>
    <row r="281" spans="5:6" ht="15.75" customHeight="1">
      <c r="E281" s="25"/>
      <c r="F281" s="21"/>
    </row>
    <row r="282" spans="5:6" ht="15.75" customHeight="1">
      <c r="E282" s="25"/>
      <c r="F282" s="21"/>
    </row>
    <row r="283" spans="5:6" ht="15.75" customHeight="1">
      <c r="E283" s="25"/>
      <c r="F283" s="21"/>
    </row>
    <row r="284" spans="5:6" ht="15.75" customHeight="1">
      <c r="E284" s="25"/>
      <c r="F284" s="21"/>
    </row>
    <row r="285" spans="5:6" ht="15.75" customHeight="1">
      <c r="E285" s="25"/>
      <c r="F285" s="21"/>
    </row>
    <row r="286" spans="5:6" ht="15.75" customHeight="1">
      <c r="E286" s="25"/>
      <c r="F286" s="21"/>
    </row>
    <row r="287" spans="5:6" ht="15.75" customHeight="1">
      <c r="E287" s="25"/>
      <c r="F287" s="21"/>
    </row>
    <row r="288" spans="5:6" ht="15.75" customHeight="1">
      <c r="E288" s="25"/>
      <c r="F288" s="21"/>
    </row>
    <row r="289" spans="5:6" ht="15.75" customHeight="1">
      <c r="E289" s="25"/>
      <c r="F289" s="21"/>
    </row>
    <row r="290" spans="5:6" ht="15.75" customHeight="1">
      <c r="E290" s="25"/>
      <c r="F290" s="21"/>
    </row>
    <row r="291" spans="5:6" ht="15.75" customHeight="1">
      <c r="E291" s="25"/>
      <c r="F291" s="21"/>
    </row>
    <row r="292" spans="5:6" ht="15.75" customHeight="1">
      <c r="E292" s="25"/>
      <c r="F292" s="21"/>
    </row>
    <row r="293" spans="5:6" ht="15.75" customHeight="1">
      <c r="E293" s="25"/>
      <c r="F293" s="21"/>
    </row>
    <row r="294" spans="5:6" ht="15.75" customHeight="1">
      <c r="E294" s="25"/>
      <c r="F294" s="21"/>
    </row>
    <row r="295" spans="5:6" ht="15.75" customHeight="1">
      <c r="E295" s="25"/>
      <c r="F295" s="21"/>
    </row>
    <row r="296" spans="5:6" ht="15.75" customHeight="1">
      <c r="E296" s="25"/>
      <c r="F296" s="21"/>
    </row>
    <row r="297" spans="5:6" ht="15.75" customHeight="1">
      <c r="E297" s="25"/>
      <c r="F297" s="21"/>
    </row>
    <row r="298" spans="5:6" ht="15.75" customHeight="1">
      <c r="E298" s="25"/>
      <c r="F298" s="21"/>
    </row>
    <row r="299" spans="5:6" ht="15.75" customHeight="1">
      <c r="E299" s="25"/>
      <c r="F299" s="21"/>
    </row>
    <row r="300" spans="5:6" ht="15.75" customHeight="1">
      <c r="E300" s="25"/>
      <c r="F300" s="21"/>
    </row>
    <row r="301" spans="5:6" ht="15.75" customHeight="1">
      <c r="E301" s="21"/>
      <c r="F301" s="21"/>
    </row>
    <row r="302" spans="5:6" ht="15.75" customHeight="1">
      <c r="E302" s="22"/>
      <c r="F302" s="21"/>
    </row>
    <row r="303" spans="5:6" ht="15.75" customHeight="1">
      <c r="E303" s="22" t="s">
        <v>5</v>
      </c>
      <c r="F303" s="21"/>
    </row>
    <row r="304" spans="5:6" ht="15.75" customHeight="1">
      <c r="E304" s="29"/>
      <c r="F304" s="21"/>
    </row>
    <row r="305" spans="5:6" ht="15.75" customHeight="1">
      <c r="E305" s="29"/>
      <c r="F305" s="21"/>
    </row>
    <row r="306" spans="5:6" ht="15.75" customHeight="1">
      <c r="E306" s="29"/>
      <c r="F306" s="21"/>
    </row>
    <row r="307" spans="5:6" ht="15.75" customHeight="1">
      <c r="E307" s="29"/>
      <c r="F307" s="21"/>
    </row>
    <row r="308" spans="5:6" ht="15.75" customHeight="1">
      <c r="E308" s="29"/>
      <c r="F308" s="21"/>
    </row>
    <row r="309" spans="5:6" ht="15.75" customHeight="1">
      <c r="E309" s="29"/>
      <c r="F309" s="21"/>
    </row>
    <row r="310" spans="5:6" ht="15.75" customHeight="1">
      <c r="E310" s="29"/>
      <c r="F310" s="21"/>
    </row>
    <row r="311" spans="5:6" ht="15.75" customHeight="1">
      <c r="E311" s="29"/>
      <c r="F311" s="21"/>
    </row>
    <row r="312" spans="5:6" ht="15.75" customHeight="1">
      <c r="E312" s="29"/>
      <c r="F312" s="21"/>
    </row>
    <row r="313" spans="5:6" ht="15.75" customHeight="1">
      <c r="E313" s="29"/>
      <c r="F313" s="21"/>
    </row>
    <row r="314" spans="5:6" ht="15.75" customHeight="1">
      <c r="E314" s="29"/>
      <c r="F314" s="21"/>
    </row>
    <row r="315" spans="5:6" ht="15.75" customHeight="1">
      <c r="E315" s="29"/>
      <c r="F315" s="21"/>
    </row>
    <row r="316" spans="5:6" ht="15.75" customHeight="1">
      <c r="E316" s="29"/>
      <c r="F316" s="21"/>
    </row>
    <row r="317" spans="5:6" ht="15.75" customHeight="1">
      <c r="E317" s="29"/>
      <c r="F317" s="21"/>
    </row>
    <row r="318" spans="5:6" ht="15.75" customHeight="1">
      <c r="E318" s="29"/>
      <c r="F318" s="21"/>
    </row>
    <row r="319" spans="5:6" ht="15.75" customHeight="1">
      <c r="E319" s="29"/>
      <c r="F319" s="21"/>
    </row>
    <row r="320" spans="5:6" ht="15.75" customHeight="1">
      <c r="E320" s="29"/>
      <c r="F320" s="21"/>
    </row>
    <row r="321" spans="5:6" ht="15.75" customHeight="1">
      <c r="E321" s="29"/>
      <c r="F321" s="21"/>
    </row>
    <row r="322" spans="5:6" ht="15.75" customHeight="1">
      <c r="E322" s="29"/>
      <c r="F322" s="21"/>
    </row>
    <row r="323" spans="5:6" ht="15.75" customHeight="1">
      <c r="E323" s="29"/>
      <c r="F323" s="21"/>
    </row>
    <row r="324" spans="5:6" ht="15.75" customHeight="1">
      <c r="E324" s="29"/>
      <c r="F324" s="21"/>
    </row>
    <row r="325" spans="5:6" ht="15.75" customHeight="1">
      <c r="E325" s="29"/>
      <c r="F325" s="21"/>
    </row>
    <row r="326" spans="5:6" ht="15.75" customHeight="1">
      <c r="E326" s="29"/>
      <c r="F326" s="21"/>
    </row>
    <row r="327" spans="5:6" ht="15.75" customHeight="1">
      <c r="E327" s="29"/>
      <c r="F327" s="21"/>
    </row>
    <row r="328" spans="5:6" ht="15.75" customHeight="1">
      <c r="E328" s="29"/>
      <c r="F328" s="21"/>
    </row>
    <row r="329" spans="5:6" ht="15.75" customHeight="1">
      <c r="E329" s="29"/>
      <c r="F329" s="21"/>
    </row>
    <row r="330" spans="5:6" ht="15.75" customHeight="1">
      <c r="E330" s="29"/>
      <c r="F330" s="21"/>
    </row>
    <row r="331" spans="5:6" ht="15.75" customHeight="1">
      <c r="E331" s="25"/>
      <c r="F331" s="21"/>
    </row>
    <row r="332" spans="5:6" ht="15.75" customHeight="1">
      <c r="E332" s="25"/>
      <c r="F332" s="21"/>
    </row>
    <row r="333" spans="5:6" ht="15.75" customHeight="1">
      <c r="E333" s="25"/>
      <c r="F333" s="21"/>
    </row>
    <row r="334" spans="5:6" ht="15.75" customHeight="1">
      <c r="E334" s="25"/>
      <c r="F334" s="21"/>
    </row>
    <row r="335" spans="5:6" ht="15.75" customHeight="1">
      <c r="E335" s="25"/>
      <c r="F335" s="21"/>
    </row>
    <row r="336" spans="5:6" ht="15.75" customHeight="1">
      <c r="E336" s="25"/>
      <c r="F336" s="21"/>
    </row>
    <row r="337" spans="5:6" ht="15.75" customHeight="1">
      <c r="E337" s="25"/>
      <c r="F337" s="21"/>
    </row>
    <row r="338" spans="5:6" ht="15.75" customHeight="1">
      <c r="E338" s="25"/>
      <c r="F338" s="21"/>
    </row>
    <row r="339" spans="5:6" ht="15.75" customHeight="1">
      <c r="E339" s="25"/>
      <c r="F339" s="21"/>
    </row>
    <row r="340" spans="5:6" ht="15.75" customHeight="1">
      <c r="E340" s="25"/>
      <c r="F340" s="21"/>
    </row>
    <row r="341" spans="5:6" ht="15.75" customHeight="1">
      <c r="E341" s="25"/>
      <c r="F341" s="21"/>
    </row>
    <row r="342" spans="5:6" ht="15.75" customHeight="1">
      <c r="E342" s="25"/>
      <c r="F342" s="21"/>
    </row>
    <row r="343" spans="5:6" ht="15.75" customHeight="1">
      <c r="E343" s="25"/>
      <c r="F343" s="21"/>
    </row>
    <row r="344" spans="5:6" ht="15.75" customHeight="1">
      <c r="E344" s="25"/>
      <c r="F344" s="21"/>
    </row>
    <row r="345" spans="5:6" ht="15.75" customHeight="1">
      <c r="E345" s="25"/>
      <c r="F345" s="21"/>
    </row>
    <row r="346" spans="5:6" ht="15.75" customHeight="1">
      <c r="E346" s="25"/>
      <c r="F346" s="21"/>
    </row>
    <row r="347" spans="5:6" ht="15.75" customHeight="1">
      <c r="E347" s="25"/>
      <c r="F347" s="21"/>
    </row>
    <row r="348" spans="5:6" ht="15.75" customHeight="1">
      <c r="E348" s="25"/>
      <c r="F348" s="21"/>
    </row>
    <row r="349" spans="5:6" ht="15.75" customHeight="1">
      <c r="E349" s="25"/>
      <c r="F349" s="21"/>
    </row>
    <row r="350" spans="5:6" ht="15.75" customHeight="1">
      <c r="E350" s="25"/>
      <c r="F350" s="21"/>
    </row>
    <row r="351" spans="5:6" ht="15.75" customHeight="1">
      <c r="E351" s="21"/>
      <c r="F351" s="21"/>
    </row>
    <row r="352" spans="5:6" ht="15.75" customHeight="1">
      <c r="E352" s="22"/>
      <c r="F352" s="21"/>
    </row>
    <row r="353" spans="5:6" ht="15.75" customHeight="1">
      <c r="E353" s="22" t="s">
        <v>5</v>
      </c>
      <c r="F353" s="21"/>
    </row>
    <row r="354" spans="5:6" ht="15.75" customHeight="1">
      <c r="E354" s="29"/>
      <c r="F354" s="21"/>
    </row>
    <row r="355" spans="5:6" ht="15.75" customHeight="1">
      <c r="E355" s="29"/>
      <c r="F355" s="21"/>
    </row>
    <row r="356" spans="5:6" ht="15.75" customHeight="1">
      <c r="E356" s="29"/>
      <c r="F356" s="21"/>
    </row>
    <row r="357" spans="5:6" ht="15.75" customHeight="1">
      <c r="E357" s="29"/>
      <c r="F357" s="21"/>
    </row>
    <row r="358" spans="5:6" ht="15.75" customHeight="1">
      <c r="E358" s="29"/>
      <c r="F358" s="21"/>
    </row>
    <row r="359" spans="5:6" ht="15.75" customHeight="1">
      <c r="E359" s="29"/>
      <c r="F359" s="21"/>
    </row>
    <row r="360" spans="5:6" ht="15.75" customHeight="1">
      <c r="E360" s="29"/>
      <c r="F360" s="21"/>
    </row>
    <row r="361" spans="5:6" ht="15.75" customHeight="1">
      <c r="E361" s="29"/>
      <c r="F361" s="21"/>
    </row>
    <row r="362" spans="5:6" ht="15.75" customHeight="1">
      <c r="E362" s="29"/>
      <c r="F362" s="21"/>
    </row>
    <row r="363" spans="5:6" ht="15.75" customHeight="1">
      <c r="E363" s="29"/>
      <c r="F363" s="21"/>
    </row>
    <row r="364" spans="5:6" ht="15.75" customHeight="1">
      <c r="E364" s="29"/>
      <c r="F364" s="21"/>
    </row>
    <row r="365" spans="5:6" ht="15.75" customHeight="1">
      <c r="E365" s="29"/>
      <c r="F365" s="21"/>
    </row>
    <row r="366" spans="5:6" ht="15.75" customHeight="1">
      <c r="E366" s="29"/>
      <c r="F366" s="21"/>
    </row>
    <row r="367" spans="5:6" ht="15.75" customHeight="1">
      <c r="E367" s="29"/>
      <c r="F367" s="21"/>
    </row>
    <row r="368" spans="5:6" ht="15.75" customHeight="1">
      <c r="E368" s="29"/>
      <c r="F368" s="21"/>
    </row>
    <row r="369" spans="5:6" ht="15.75" customHeight="1">
      <c r="E369" s="29"/>
      <c r="F369" s="21"/>
    </row>
    <row r="370" spans="5:6" ht="15.75" customHeight="1">
      <c r="E370" s="29"/>
      <c r="F370" s="21"/>
    </row>
    <row r="371" spans="5:6" ht="15.75" customHeight="1">
      <c r="E371" s="29"/>
      <c r="F371" s="21"/>
    </row>
    <row r="372" spans="5:6" ht="15.75" customHeight="1">
      <c r="E372" s="29"/>
      <c r="F372" s="21"/>
    </row>
    <row r="373" spans="5:6" ht="15.75" customHeight="1">
      <c r="E373" s="29"/>
      <c r="F373" s="21"/>
    </row>
    <row r="374" spans="5:6" ht="15.75" customHeight="1">
      <c r="E374" s="29"/>
      <c r="F374" s="21"/>
    </row>
    <row r="375" spans="5:6" ht="15.75" customHeight="1">
      <c r="E375" s="29"/>
      <c r="F375" s="21"/>
    </row>
    <row r="376" spans="5:6" ht="15.75" customHeight="1">
      <c r="E376" s="29"/>
      <c r="F376" s="21"/>
    </row>
    <row r="377" spans="5:6" ht="15.75" customHeight="1">
      <c r="E377" s="29"/>
      <c r="F377" s="21"/>
    </row>
    <row r="378" spans="5:6" ht="15.75" customHeight="1">
      <c r="E378" s="29"/>
      <c r="F378" s="21"/>
    </row>
    <row r="379" spans="5:6" ht="15.75" customHeight="1">
      <c r="E379" s="29"/>
      <c r="F379" s="21"/>
    </row>
    <row r="380" spans="5:6" ht="15.75" customHeight="1">
      <c r="E380" s="29"/>
      <c r="F380" s="21"/>
    </row>
    <row r="381" spans="5:6" ht="15.75" customHeight="1">
      <c r="E381" s="25"/>
      <c r="F381" s="21"/>
    </row>
    <row r="382" spans="5:6" ht="15.75" customHeight="1">
      <c r="E382" s="25"/>
      <c r="F382" s="21"/>
    </row>
    <row r="383" spans="5:6" ht="15.75" customHeight="1">
      <c r="E383" s="25"/>
      <c r="F383" s="21"/>
    </row>
    <row r="384" spans="5:6" ht="15.75" customHeight="1">
      <c r="E384" s="25"/>
      <c r="F384" s="21"/>
    </row>
    <row r="385" spans="5:6" ht="15.75" customHeight="1">
      <c r="E385" s="25"/>
      <c r="F385" s="21"/>
    </row>
    <row r="386" spans="5:6" ht="15.75" customHeight="1">
      <c r="E386" s="25"/>
      <c r="F386" s="21"/>
    </row>
    <row r="387" spans="5:6" ht="15.75" customHeight="1">
      <c r="E387" s="25"/>
      <c r="F387" s="21"/>
    </row>
    <row r="388" spans="5:6" ht="15.75" customHeight="1">
      <c r="E388" s="25"/>
      <c r="F388" s="21"/>
    </row>
    <row r="389" spans="5:6" ht="15.75" customHeight="1">
      <c r="E389" s="25"/>
      <c r="F389" s="21"/>
    </row>
    <row r="390" spans="5:6" ht="15.75" customHeight="1">
      <c r="E390" s="25"/>
      <c r="F390" s="21"/>
    </row>
    <row r="391" spans="5:6" ht="15.75" customHeight="1">
      <c r="E391" s="25"/>
      <c r="F391" s="21"/>
    </row>
    <row r="392" spans="5:6" ht="15.75" customHeight="1">
      <c r="E392" s="25"/>
      <c r="F392" s="21"/>
    </row>
    <row r="393" spans="5:6" ht="15.75" customHeight="1">
      <c r="E393" s="25"/>
      <c r="F393" s="21"/>
    </row>
    <row r="394" spans="5:6" ht="15.75" customHeight="1">
      <c r="E394" s="25"/>
      <c r="F394" s="21"/>
    </row>
    <row r="395" spans="5:6" ht="15.75" customHeight="1">
      <c r="E395" s="25"/>
      <c r="F395" s="21"/>
    </row>
    <row r="396" spans="5:6" ht="15.75" customHeight="1">
      <c r="E396" s="25"/>
      <c r="F396" s="21"/>
    </row>
    <row r="397" spans="5:6" ht="15.75" customHeight="1">
      <c r="E397" s="25"/>
      <c r="F397" s="21"/>
    </row>
    <row r="398" spans="5:6" ht="15.75" customHeight="1">
      <c r="E398" s="25"/>
      <c r="F398" s="21"/>
    </row>
    <row r="399" spans="5:6" ht="15.75" customHeight="1">
      <c r="E399" s="25"/>
      <c r="F399" s="21"/>
    </row>
    <row r="400" spans="5:6" ht="15.75" customHeight="1">
      <c r="E400" s="25"/>
      <c r="F400" s="21"/>
    </row>
    <row r="401" spans="5:6" ht="15.75" customHeight="1">
      <c r="E401" s="21"/>
      <c r="F401" s="21"/>
    </row>
    <row r="402" spans="5:6" ht="15.75" customHeight="1">
      <c r="E402" s="22"/>
      <c r="F402" s="21"/>
    </row>
    <row r="403" spans="5:6" ht="15.75" customHeight="1">
      <c r="E403" s="22" t="s">
        <v>5</v>
      </c>
      <c r="F403" s="21"/>
    </row>
    <row r="404" spans="5:6" ht="15.75" customHeight="1">
      <c r="E404" s="29"/>
      <c r="F404" s="21"/>
    </row>
    <row r="405" spans="5:6" ht="15.75" customHeight="1">
      <c r="E405" s="29"/>
      <c r="F405" s="21"/>
    </row>
    <row r="406" spans="5:6" ht="15.75" customHeight="1">
      <c r="E406" s="29"/>
      <c r="F406" s="21"/>
    </row>
    <row r="407" spans="5:6" ht="15.75" customHeight="1">
      <c r="E407" s="29"/>
      <c r="F407" s="21"/>
    </row>
    <row r="408" spans="5:6" ht="15.75" customHeight="1">
      <c r="E408" s="29"/>
      <c r="F408" s="21"/>
    </row>
    <row r="409" spans="5:6" ht="15.75" customHeight="1">
      <c r="E409" s="29"/>
      <c r="F409" s="21"/>
    </row>
    <row r="410" spans="5:6" ht="15.75" customHeight="1">
      <c r="E410" s="29"/>
      <c r="F410" s="21"/>
    </row>
    <row r="411" spans="5:6" ht="15.75" customHeight="1">
      <c r="E411" s="29"/>
      <c r="F411" s="21"/>
    </row>
    <row r="412" spans="5:6" ht="15.75" customHeight="1">
      <c r="E412" s="29"/>
      <c r="F412" s="21"/>
    </row>
    <row r="413" spans="5:6" ht="15.75" customHeight="1">
      <c r="E413" s="29"/>
      <c r="F413" s="21"/>
    </row>
    <row r="414" spans="5:6" ht="15.75" customHeight="1">
      <c r="E414" s="29"/>
      <c r="F414" s="21"/>
    </row>
    <row r="415" spans="5:6" ht="15.75" customHeight="1">
      <c r="E415" s="29"/>
      <c r="F415" s="21"/>
    </row>
    <row r="416" spans="5:6" ht="15.75" customHeight="1">
      <c r="E416" s="29"/>
      <c r="F416" s="21"/>
    </row>
    <row r="417" spans="5:6" ht="15.75" customHeight="1">
      <c r="E417" s="29"/>
      <c r="F417" s="21"/>
    </row>
    <row r="418" spans="5:6" ht="15.75" customHeight="1">
      <c r="E418" s="29"/>
      <c r="F418" s="21"/>
    </row>
    <row r="419" spans="5:6" ht="15.75" customHeight="1">
      <c r="E419" s="29"/>
      <c r="F419" s="21"/>
    </row>
    <row r="420" spans="5:6" ht="15.75" customHeight="1">
      <c r="E420" s="29"/>
      <c r="F420" s="21"/>
    </row>
    <row r="421" spans="5:6" ht="15.75" customHeight="1">
      <c r="E421" s="29"/>
      <c r="F421" s="21"/>
    </row>
    <row r="422" spans="5:6" ht="15.75" customHeight="1">
      <c r="E422" s="29"/>
      <c r="F422" s="21"/>
    </row>
    <row r="423" spans="5:6" ht="15.75" customHeight="1">
      <c r="E423" s="29"/>
      <c r="F423" s="21"/>
    </row>
    <row r="424" spans="5:6" ht="15.75" customHeight="1">
      <c r="E424" s="29"/>
      <c r="F424" s="21"/>
    </row>
    <row r="425" spans="5:6" ht="15.75" customHeight="1">
      <c r="E425" s="29"/>
      <c r="F425" s="21"/>
    </row>
    <row r="426" spans="5:6" ht="15.75" customHeight="1">
      <c r="E426" s="29"/>
      <c r="F426" s="21"/>
    </row>
    <row r="427" spans="5:6" ht="15.75" customHeight="1">
      <c r="E427" s="29"/>
      <c r="F427" s="21"/>
    </row>
    <row r="428" spans="5:6" ht="15.75" customHeight="1">
      <c r="E428" s="29"/>
      <c r="F428" s="21"/>
    </row>
    <row r="429" spans="5:6" ht="15.75" customHeight="1">
      <c r="E429" s="29"/>
      <c r="F429" s="21"/>
    </row>
    <row r="430" spans="5:6" ht="15.75" customHeight="1">
      <c r="E430" s="29"/>
      <c r="F430" s="21"/>
    </row>
    <row r="431" spans="5:6" ht="15.75" customHeight="1">
      <c r="E431" s="25"/>
      <c r="F431" s="21"/>
    </row>
    <row r="432" spans="5:6" ht="15.75" customHeight="1">
      <c r="E432" s="25"/>
      <c r="F432" s="21"/>
    </row>
    <row r="433" spans="5:6" ht="15.75" customHeight="1">
      <c r="E433" s="25"/>
      <c r="F433" s="21"/>
    </row>
    <row r="434" spans="5:6" ht="15.75" customHeight="1">
      <c r="E434" s="25"/>
      <c r="F434" s="21"/>
    </row>
    <row r="435" spans="5:6" ht="15.75" customHeight="1">
      <c r="E435" s="25"/>
      <c r="F435" s="21"/>
    </row>
    <row r="436" spans="5:6" ht="15.75" customHeight="1">
      <c r="E436" s="25"/>
      <c r="F436" s="21"/>
    </row>
    <row r="437" spans="5:6" ht="15.75" customHeight="1">
      <c r="E437" s="25"/>
      <c r="F437" s="21"/>
    </row>
    <row r="438" spans="5:6" ht="15.75" customHeight="1">
      <c r="E438" s="25"/>
      <c r="F438" s="21"/>
    </row>
    <row r="439" spans="5:6" ht="15.75" customHeight="1">
      <c r="E439" s="25"/>
      <c r="F439" s="21"/>
    </row>
    <row r="440" spans="5:6" ht="15.75" customHeight="1">
      <c r="E440" s="25"/>
      <c r="F440" s="21"/>
    </row>
    <row r="441" spans="5:6" ht="15.75" customHeight="1">
      <c r="E441" s="25"/>
      <c r="F441" s="21"/>
    </row>
    <row r="442" spans="5:6" ht="15.75" customHeight="1">
      <c r="E442" s="25"/>
      <c r="F442" s="21"/>
    </row>
    <row r="443" spans="5:6" ht="15.75" customHeight="1">
      <c r="E443" s="25"/>
      <c r="F443" s="21"/>
    </row>
    <row r="444" spans="5:6" ht="15.75" customHeight="1">
      <c r="E444" s="25"/>
      <c r="F444" s="21"/>
    </row>
    <row r="445" spans="5:6" ht="15.75" customHeight="1">
      <c r="E445" s="25"/>
      <c r="F445" s="21"/>
    </row>
    <row r="446" spans="5:6" ht="15.75" customHeight="1">
      <c r="E446" s="25"/>
      <c r="F446" s="21"/>
    </row>
    <row r="447" spans="5:6" ht="15.75" customHeight="1">
      <c r="E447" s="25"/>
      <c r="F447" s="21"/>
    </row>
    <row r="448" spans="5:6" ht="15.75" customHeight="1">
      <c r="E448" s="25"/>
      <c r="F448" s="21"/>
    </row>
    <row r="449" spans="5:6" ht="15.75" customHeight="1">
      <c r="E449" s="25"/>
      <c r="F449" s="21"/>
    </row>
    <row r="450" spans="5:6" ht="15.75" customHeight="1">
      <c r="E450" s="25"/>
      <c r="F450" s="21"/>
    </row>
    <row r="451" spans="5:6" ht="15.75" customHeight="1">
      <c r="E451" s="21"/>
      <c r="F451" s="21"/>
    </row>
    <row r="452" spans="5:6" ht="15.75" customHeight="1">
      <c r="E452" s="22"/>
      <c r="F452" s="21"/>
    </row>
    <row r="453" spans="5:6" ht="15.75" customHeight="1">
      <c r="E453" s="22" t="s">
        <v>5</v>
      </c>
      <c r="F453" s="21"/>
    </row>
    <row r="454" spans="5:6" ht="15.75" customHeight="1">
      <c r="E454" s="29"/>
      <c r="F454" s="21"/>
    </row>
    <row r="455" spans="5:6" ht="15.75" customHeight="1">
      <c r="E455" s="29"/>
      <c r="F455" s="21"/>
    </row>
    <row r="456" spans="5:6" ht="15.75" customHeight="1">
      <c r="E456" s="29"/>
      <c r="F456" s="21"/>
    </row>
    <row r="457" spans="5:6" ht="15.75" customHeight="1">
      <c r="E457" s="29"/>
      <c r="F457" s="21"/>
    </row>
    <row r="458" spans="5:6" ht="15.75" customHeight="1">
      <c r="E458" s="29"/>
      <c r="F458" s="21"/>
    </row>
    <row r="459" spans="5:6" ht="15.75" customHeight="1">
      <c r="E459" s="29"/>
      <c r="F459" s="21"/>
    </row>
    <row r="460" spans="5:6" ht="15.75" customHeight="1">
      <c r="E460" s="29"/>
      <c r="F460" s="21"/>
    </row>
    <row r="461" spans="5:6" ht="15.75" customHeight="1">
      <c r="E461" s="29"/>
      <c r="F461" s="21"/>
    </row>
    <row r="462" spans="5:6" ht="15.75" customHeight="1">
      <c r="E462" s="29"/>
      <c r="F462" s="21"/>
    </row>
    <row r="463" spans="5:6" ht="15.75" customHeight="1">
      <c r="E463" s="29"/>
      <c r="F463" s="21"/>
    </row>
    <row r="464" spans="5:6" ht="15.75" customHeight="1">
      <c r="E464" s="29"/>
      <c r="F464" s="21"/>
    </row>
    <row r="465" spans="5:6" ht="15.75" customHeight="1">
      <c r="E465" s="29"/>
      <c r="F465" s="21"/>
    </row>
    <row r="466" spans="5:6" ht="15.75" customHeight="1">
      <c r="E466" s="29"/>
      <c r="F466" s="21"/>
    </row>
    <row r="467" spans="5:6" ht="15.75" customHeight="1">
      <c r="E467" s="29"/>
      <c r="F467" s="21"/>
    </row>
    <row r="468" spans="5:6" ht="15.75" customHeight="1">
      <c r="E468" s="29"/>
      <c r="F468" s="21"/>
    </row>
    <row r="469" spans="5:6" ht="15.75" customHeight="1">
      <c r="E469" s="29"/>
      <c r="F469" s="21"/>
    </row>
    <row r="470" spans="5:6" ht="15.75" customHeight="1">
      <c r="E470" s="29"/>
      <c r="F470" s="21"/>
    </row>
    <row r="471" spans="5:6" ht="15.75" customHeight="1">
      <c r="E471" s="29"/>
      <c r="F471" s="21"/>
    </row>
    <row r="472" spans="5:6" ht="15.75" customHeight="1">
      <c r="E472" s="29"/>
      <c r="F472" s="21"/>
    </row>
    <row r="473" spans="5:6" ht="15.75" customHeight="1">
      <c r="E473" s="29"/>
      <c r="F473" s="21"/>
    </row>
    <row r="474" spans="5:6" ht="15.75" customHeight="1">
      <c r="E474" s="29"/>
      <c r="F474" s="21"/>
    </row>
    <row r="475" spans="5:6" ht="15.75" customHeight="1">
      <c r="E475" s="29"/>
      <c r="F475" s="21"/>
    </row>
    <row r="476" spans="5:6" ht="15.75" customHeight="1">
      <c r="E476" s="29"/>
      <c r="F476" s="21"/>
    </row>
    <row r="477" spans="5:6" ht="15.75" customHeight="1">
      <c r="E477" s="29"/>
      <c r="F477" s="21"/>
    </row>
    <row r="478" spans="5:6" ht="15.75" customHeight="1">
      <c r="E478" s="29"/>
      <c r="F478" s="21"/>
    </row>
    <row r="479" spans="5:6" ht="15.75" customHeight="1">
      <c r="E479" s="29"/>
      <c r="F479" s="21"/>
    </row>
    <row r="480" spans="5:6" ht="15.75" customHeight="1">
      <c r="E480" s="29"/>
      <c r="F480" s="21"/>
    </row>
    <row r="481" spans="5:6" ht="15.75" customHeight="1">
      <c r="E481" s="25"/>
      <c r="F481" s="21"/>
    </row>
    <row r="482" spans="5:6" ht="15.75" customHeight="1">
      <c r="E482" s="25"/>
      <c r="F482" s="21"/>
    </row>
    <row r="483" spans="5:6" ht="15.75" customHeight="1">
      <c r="E483" s="25"/>
      <c r="F483" s="21"/>
    </row>
    <row r="484" spans="5:6" ht="15.75" customHeight="1">
      <c r="E484" s="25"/>
      <c r="F484" s="21"/>
    </row>
    <row r="485" spans="5:6" ht="15.75" customHeight="1">
      <c r="E485" s="25"/>
      <c r="F485" s="21"/>
    </row>
    <row r="486" spans="5:6" ht="15.75" customHeight="1">
      <c r="E486" s="25"/>
      <c r="F486" s="21"/>
    </row>
    <row r="487" spans="5:6" ht="15.75" customHeight="1">
      <c r="E487" s="25"/>
      <c r="F487" s="21"/>
    </row>
    <row r="488" spans="5:6" ht="15.75" customHeight="1">
      <c r="E488" s="25"/>
      <c r="F488" s="21"/>
    </row>
    <row r="489" spans="5:6" ht="15.75" customHeight="1">
      <c r="E489" s="25"/>
      <c r="F489" s="21"/>
    </row>
    <row r="490" spans="5:6" ht="15.75" customHeight="1">
      <c r="E490" s="25"/>
      <c r="F490" s="21"/>
    </row>
    <row r="491" spans="5:6" ht="15.75" customHeight="1">
      <c r="E491" s="25"/>
      <c r="F491" s="21"/>
    </row>
    <row r="492" spans="5:6" ht="15.75" customHeight="1">
      <c r="E492" s="25"/>
      <c r="F492" s="21"/>
    </row>
    <row r="493" spans="5:6" ht="15.75" customHeight="1">
      <c r="E493" s="25"/>
      <c r="F493" s="21"/>
    </row>
    <row r="494" spans="5:6" ht="15.75" customHeight="1">
      <c r="E494" s="25"/>
      <c r="F494" s="21"/>
    </row>
    <row r="495" spans="5:6" ht="15.75" customHeight="1">
      <c r="E495" s="25"/>
      <c r="F495" s="21"/>
    </row>
    <row r="496" spans="5:6" ht="15.75" customHeight="1">
      <c r="E496" s="25"/>
      <c r="F496" s="21"/>
    </row>
    <row r="497" spans="5:6" ht="15.75" customHeight="1">
      <c r="E497" s="25"/>
      <c r="F497" s="21"/>
    </row>
    <row r="498" spans="5:6" ht="15.75" customHeight="1">
      <c r="E498" s="25"/>
      <c r="F498" s="21"/>
    </row>
    <row r="499" spans="5:6" ht="15.75" customHeight="1">
      <c r="E499" s="25"/>
      <c r="F499" s="21"/>
    </row>
    <row r="500" spans="5:6" ht="15.75" customHeight="1">
      <c r="E500" s="25"/>
      <c r="F500" s="21"/>
    </row>
    <row r="501" spans="5:6" ht="15.75" customHeight="1">
      <c r="E501" s="21"/>
      <c r="F501" s="21"/>
    </row>
    <row r="502" spans="5:6" ht="15.75" customHeight="1">
      <c r="E502" s="22"/>
      <c r="F502" s="21"/>
    </row>
    <row r="503" spans="5:6" ht="15.75" customHeight="1">
      <c r="E503" s="22" t="s">
        <v>5</v>
      </c>
      <c r="F503" s="21"/>
    </row>
    <row r="504" spans="5:6" ht="15.75" customHeight="1">
      <c r="E504" s="29"/>
      <c r="F504" s="21"/>
    </row>
    <row r="505" spans="5:6" ht="15.75" customHeight="1">
      <c r="E505" s="29"/>
      <c r="F505" s="21"/>
    </row>
    <row r="506" spans="5:6" ht="15.75" customHeight="1">
      <c r="E506" s="29"/>
      <c r="F506" s="21"/>
    </row>
    <row r="507" spans="5:6" ht="15.75" customHeight="1">
      <c r="E507" s="29"/>
      <c r="F507" s="21"/>
    </row>
    <row r="508" spans="5:6" ht="15.75" customHeight="1">
      <c r="E508" s="29"/>
      <c r="F508" s="21"/>
    </row>
    <row r="509" spans="5:6" ht="15.75" customHeight="1">
      <c r="E509" s="29"/>
      <c r="F509" s="21"/>
    </row>
    <row r="510" spans="5:6" ht="15.75" customHeight="1">
      <c r="E510" s="29"/>
      <c r="F510" s="21"/>
    </row>
    <row r="511" spans="5:6" ht="15.75" customHeight="1">
      <c r="E511" s="29"/>
      <c r="F511" s="21"/>
    </row>
    <row r="512" spans="5:6" ht="15.75" customHeight="1">
      <c r="E512" s="29"/>
      <c r="F512" s="21"/>
    </row>
    <row r="513" spans="5:6" ht="15.75" customHeight="1">
      <c r="E513" s="29"/>
      <c r="F513" s="21"/>
    </row>
    <row r="514" spans="5:6" ht="15.75" customHeight="1">
      <c r="E514" s="29"/>
      <c r="F514" s="21"/>
    </row>
    <row r="515" spans="5:6" ht="15.75" customHeight="1">
      <c r="E515" s="29"/>
      <c r="F515" s="21"/>
    </row>
    <row r="516" spans="5:6" ht="15.75" customHeight="1">
      <c r="E516" s="29"/>
      <c r="F516" s="21"/>
    </row>
    <row r="517" spans="5:6" ht="15.75" customHeight="1">
      <c r="E517" s="29"/>
      <c r="F517" s="21"/>
    </row>
    <row r="518" spans="5:6" ht="15.75" customHeight="1">
      <c r="E518" s="29"/>
      <c r="F518" s="21"/>
    </row>
    <row r="519" spans="5:6" ht="15.75" customHeight="1">
      <c r="E519" s="29"/>
      <c r="F519" s="21"/>
    </row>
    <row r="520" spans="5:6" ht="15.75" customHeight="1">
      <c r="E520" s="29"/>
      <c r="F520" s="21"/>
    </row>
    <row r="521" spans="5:6" ht="15.75" customHeight="1">
      <c r="E521" s="29"/>
      <c r="F521" s="21"/>
    </row>
    <row r="522" spans="5:6" ht="15.75" customHeight="1">
      <c r="E522" s="29"/>
      <c r="F522" s="21"/>
    </row>
    <row r="523" spans="5:6" ht="15.75" customHeight="1">
      <c r="E523" s="29"/>
      <c r="F523" s="21"/>
    </row>
    <row r="524" spans="5:6" ht="15.75" customHeight="1">
      <c r="E524" s="29"/>
      <c r="F524" s="21"/>
    </row>
    <row r="525" spans="5:6" ht="15.75" customHeight="1">
      <c r="E525" s="29"/>
      <c r="F525" s="21"/>
    </row>
    <row r="526" spans="5:6" ht="15.75" customHeight="1">
      <c r="E526" s="29"/>
      <c r="F526" s="21"/>
    </row>
    <row r="527" spans="5:6" ht="15.75" customHeight="1">
      <c r="E527" s="29"/>
      <c r="F527" s="21"/>
    </row>
    <row r="528" spans="5:6" ht="15.75" customHeight="1">
      <c r="E528" s="29"/>
      <c r="F528" s="21"/>
    </row>
    <row r="529" spans="5:6" ht="15.75" customHeight="1">
      <c r="E529" s="29"/>
      <c r="F529" s="21"/>
    </row>
    <row r="530" spans="5:6" ht="15.75" customHeight="1">
      <c r="E530" s="29"/>
      <c r="F530" s="21"/>
    </row>
    <row r="531" spans="5:6" ht="15.75" customHeight="1">
      <c r="E531" s="25"/>
      <c r="F531" s="21"/>
    </row>
    <row r="532" spans="5:6" ht="15.75" customHeight="1">
      <c r="E532" s="25"/>
      <c r="F532" s="21"/>
    </row>
    <row r="533" spans="5:6" ht="15.75" customHeight="1">
      <c r="E533" s="25"/>
      <c r="F533" s="21"/>
    </row>
    <row r="534" spans="5:6" ht="15.75" customHeight="1">
      <c r="E534" s="25"/>
      <c r="F534" s="21"/>
    </row>
    <row r="535" spans="5:6" ht="15.75" customHeight="1">
      <c r="E535" s="25"/>
      <c r="F535" s="21"/>
    </row>
    <row r="536" spans="5:6" ht="15.75" customHeight="1">
      <c r="E536" s="25"/>
      <c r="F536" s="21"/>
    </row>
    <row r="537" spans="5:6" ht="15.75" customHeight="1">
      <c r="E537" s="25"/>
      <c r="F537" s="21"/>
    </row>
    <row r="538" spans="5:6" ht="15.75" customHeight="1">
      <c r="E538" s="25"/>
      <c r="F538" s="21"/>
    </row>
    <row r="539" spans="5:6" ht="15.75" customHeight="1">
      <c r="E539" s="25"/>
      <c r="F539" s="21"/>
    </row>
    <row r="540" spans="5:6" ht="15.75" customHeight="1">
      <c r="E540" s="25"/>
      <c r="F540" s="21"/>
    </row>
    <row r="541" spans="5:6" ht="15.75" customHeight="1">
      <c r="E541" s="25"/>
      <c r="F541" s="21"/>
    </row>
    <row r="542" spans="5:6" ht="15.75" customHeight="1">
      <c r="E542" s="25"/>
      <c r="F542" s="21"/>
    </row>
    <row r="543" spans="5:6" ht="15.75" customHeight="1">
      <c r="E543" s="25"/>
      <c r="F543" s="21"/>
    </row>
    <row r="544" spans="5:6" ht="15.75" customHeight="1">
      <c r="E544" s="25"/>
      <c r="F544" s="21"/>
    </row>
    <row r="545" spans="5:6" ht="15.75" customHeight="1">
      <c r="E545" s="25"/>
      <c r="F545" s="21"/>
    </row>
    <row r="546" spans="5:6" ht="15.75" customHeight="1">
      <c r="E546" s="25"/>
      <c r="F546" s="21"/>
    </row>
    <row r="547" spans="5:6" ht="15.75" customHeight="1">
      <c r="E547" s="25"/>
      <c r="F547" s="21"/>
    </row>
    <row r="548" spans="5:6" ht="15.75" customHeight="1">
      <c r="E548" s="25"/>
      <c r="F548" s="21"/>
    </row>
    <row r="549" spans="5:6" ht="15.75" customHeight="1">
      <c r="E549" s="25"/>
      <c r="F549" s="21"/>
    </row>
    <row r="550" spans="5:6" ht="15.75" customHeight="1">
      <c r="E550" s="25"/>
      <c r="F550" s="21"/>
    </row>
    <row r="551" spans="5:6" ht="15.75" customHeight="1">
      <c r="E551" s="21"/>
      <c r="F551" s="21"/>
    </row>
    <row r="552" spans="5:6" ht="15.75" customHeight="1">
      <c r="E552" s="22"/>
      <c r="F552" s="21"/>
    </row>
    <row r="553" spans="5:6" ht="15.75" customHeight="1">
      <c r="E553" s="22" t="s">
        <v>5</v>
      </c>
      <c r="F553" s="21"/>
    </row>
    <row r="554" spans="5:6" ht="15.75" customHeight="1">
      <c r="E554" s="29"/>
      <c r="F554" s="21"/>
    </row>
    <row r="555" spans="5:6" ht="15.75" customHeight="1">
      <c r="E555" s="29"/>
      <c r="F555" s="21"/>
    </row>
    <row r="556" spans="5:6" ht="15.75" customHeight="1">
      <c r="E556" s="29"/>
      <c r="F556" s="21"/>
    </row>
    <row r="557" spans="5:6" ht="15.75" customHeight="1">
      <c r="E557" s="29"/>
      <c r="F557" s="21"/>
    </row>
    <row r="558" spans="5:6" ht="15.75" customHeight="1">
      <c r="E558" s="29"/>
      <c r="F558" s="21"/>
    </row>
    <row r="559" spans="5:6" ht="15.75" customHeight="1">
      <c r="E559" s="29"/>
      <c r="F559" s="21"/>
    </row>
    <row r="560" spans="5:6" ht="15.75" customHeight="1">
      <c r="E560" s="29"/>
      <c r="F560" s="21"/>
    </row>
    <row r="561" spans="5:6" ht="15.75" customHeight="1">
      <c r="E561" s="29"/>
      <c r="F561" s="21"/>
    </row>
    <row r="562" spans="5:6" ht="15.75" customHeight="1">
      <c r="E562" s="29"/>
      <c r="F562" s="21"/>
    </row>
    <row r="563" spans="5:6" ht="15.75" customHeight="1">
      <c r="E563" s="29"/>
      <c r="F563" s="21"/>
    </row>
    <row r="564" spans="5:6" ht="15.75" customHeight="1">
      <c r="E564" s="29"/>
      <c r="F564" s="21"/>
    </row>
    <row r="565" spans="5:6" ht="15.75" customHeight="1">
      <c r="E565" s="29"/>
      <c r="F565" s="21"/>
    </row>
    <row r="566" spans="5:6" ht="15.75" customHeight="1">
      <c r="E566" s="29"/>
      <c r="F566" s="21"/>
    </row>
    <row r="567" spans="5:6" ht="15.75" customHeight="1">
      <c r="E567" s="29"/>
      <c r="F567" s="21"/>
    </row>
    <row r="568" spans="5:6" ht="15.75" customHeight="1">
      <c r="E568" s="29"/>
      <c r="F568" s="21"/>
    </row>
    <row r="569" spans="5:6" ht="15.75" customHeight="1">
      <c r="E569" s="29"/>
      <c r="F569" s="21"/>
    </row>
    <row r="570" spans="5:6" ht="15.75" customHeight="1">
      <c r="E570" s="29"/>
      <c r="F570" s="21"/>
    </row>
    <row r="571" spans="5:6" ht="15.75" customHeight="1">
      <c r="E571" s="29"/>
      <c r="F571" s="21"/>
    </row>
    <row r="572" spans="5:6" ht="15.75" customHeight="1">
      <c r="E572" s="29"/>
      <c r="F572" s="21"/>
    </row>
    <row r="573" spans="5:6" ht="15.75" customHeight="1">
      <c r="E573" s="29"/>
      <c r="F573" s="21"/>
    </row>
    <row r="574" spans="5:6" ht="15.75" customHeight="1">
      <c r="E574" s="29"/>
      <c r="F574" s="21"/>
    </row>
    <row r="575" spans="5:6" ht="15.75" customHeight="1">
      <c r="E575" s="29"/>
      <c r="F575" s="21"/>
    </row>
    <row r="576" spans="5:6" ht="15.75" customHeight="1">
      <c r="E576" s="29"/>
      <c r="F576" s="21"/>
    </row>
    <row r="577" spans="5:6" ht="15.75" customHeight="1">
      <c r="E577" s="29"/>
      <c r="F577" s="21"/>
    </row>
    <row r="578" spans="5:6" ht="15.75" customHeight="1">
      <c r="E578" s="29"/>
      <c r="F578" s="21"/>
    </row>
    <row r="579" spans="5:6" ht="15.75" customHeight="1">
      <c r="E579" s="29"/>
      <c r="F579" s="21"/>
    </row>
    <row r="580" spans="5:6" ht="15.75" customHeight="1">
      <c r="E580" s="29"/>
      <c r="F580" s="21"/>
    </row>
    <row r="581" spans="5:6" ht="15.75" customHeight="1">
      <c r="E581" s="25"/>
      <c r="F581" s="21"/>
    </row>
    <row r="582" spans="5:6" ht="15.75" customHeight="1">
      <c r="E582" s="25"/>
      <c r="F582" s="21"/>
    </row>
    <row r="583" spans="5:6" ht="15.75" customHeight="1">
      <c r="E583" s="25"/>
      <c r="F583" s="21"/>
    </row>
    <row r="584" spans="5:6" ht="15.75" customHeight="1">
      <c r="E584" s="25"/>
      <c r="F584" s="21"/>
    </row>
    <row r="585" spans="5:6" ht="15.75" customHeight="1">
      <c r="E585" s="25"/>
      <c r="F585" s="21"/>
    </row>
    <row r="586" spans="5:6" ht="15.75" customHeight="1">
      <c r="E586" s="25"/>
      <c r="F586" s="21"/>
    </row>
    <row r="587" spans="5:6" ht="15.75" customHeight="1">
      <c r="E587" s="25"/>
      <c r="F587" s="21"/>
    </row>
    <row r="588" spans="5:6" ht="15.75" customHeight="1">
      <c r="E588" s="25"/>
      <c r="F588" s="21"/>
    </row>
    <row r="589" spans="5:6" ht="15.75" customHeight="1">
      <c r="E589" s="25"/>
      <c r="F589" s="21"/>
    </row>
    <row r="590" spans="5:6" ht="15.75" customHeight="1">
      <c r="E590" s="25"/>
      <c r="F590" s="21"/>
    </row>
    <row r="591" spans="5:6" ht="15.75" customHeight="1">
      <c r="E591" s="25"/>
      <c r="F591" s="21"/>
    </row>
    <row r="592" spans="5:6" ht="15.75" customHeight="1">
      <c r="E592" s="25"/>
      <c r="F592" s="21"/>
    </row>
    <row r="593" spans="5:6" ht="15.75" customHeight="1">
      <c r="E593" s="25"/>
      <c r="F593" s="21"/>
    </row>
    <row r="594" spans="5:6" ht="15.75" customHeight="1">
      <c r="E594" s="25"/>
      <c r="F594" s="21"/>
    </row>
    <row r="595" spans="5:6" ht="15.75" customHeight="1">
      <c r="E595" s="25"/>
      <c r="F595" s="21"/>
    </row>
    <row r="596" spans="5:6" ht="15.75" customHeight="1">
      <c r="E596" s="25"/>
      <c r="F596" s="21"/>
    </row>
    <row r="597" spans="5:6" ht="15.75" customHeight="1">
      <c r="E597" s="25"/>
      <c r="F597" s="21"/>
    </row>
    <row r="598" spans="5:6" ht="15.75" customHeight="1">
      <c r="E598" s="25"/>
      <c r="F598" s="21"/>
    </row>
    <row r="599" spans="5:6" ht="15.75" customHeight="1">
      <c r="E599" s="25"/>
      <c r="F599" s="21"/>
    </row>
    <row r="600" spans="5:6" ht="15.75" customHeight="1">
      <c r="E600" s="25"/>
      <c r="F600" s="21"/>
    </row>
    <row r="601" spans="5:6" ht="15.75" customHeight="1">
      <c r="E601" s="21"/>
      <c r="F601" s="21"/>
    </row>
    <row r="602" spans="5:6" ht="15.75" customHeight="1">
      <c r="E602" s="22"/>
      <c r="F602" s="21"/>
    </row>
    <row r="603" spans="5:6" ht="15.75" customHeight="1">
      <c r="E603" s="22" t="s">
        <v>5</v>
      </c>
      <c r="F603" s="21"/>
    </row>
    <row r="604" spans="5:6" ht="15.75" customHeight="1">
      <c r="E604" s="29"/>
      <c r="F604" s="21"/>
    </row>
    <row r="605" spans="5:6" ht="15.75" customHeight="1">
      <c r="E605" s="29"/>
      <c r="F605" s="21"/>
    </row>
    <row r="606" spans="5:6" ht="15.75" customHeight="1">
      <c r="E606" s="29"/>
      <c r="F606" s="21"/>
    </row>
    <row r="607" spans="5:6" ht="15.75" customHeight="1">
      <c r="E607" s="29"/>
      <c r="F607" s="21"/>
    </row>
    <row r="608" spans="5:6" ht="15.75" customHeight="1">
      <c r="E608" s="29"/>
      <c r="F608" s="21"/>
    </row>
    <row r="609" spans="5:6" ht="15.75" customHeight="1">
      <c r="E609" s="29"/>
      <c r="F609" s="21"/>
    </row>
    <row r="610" spans="5:6" ht="15.75" customHeight="1">
      <c r="E610" s="29"/>
      <c r="F610" s="21"/>
    </row>
    <row r="611" spans="5:6" ht="15.75" customHeight="1">
      <c r="E611" s="29"/>
      <c r="F611" s="21"/>
    </row>
    <row r="612" spans="5:6" ht="15.75" customHeight="1">
      <c r="E612" s="29"/>
      <c r="F612" s="21"/>
    </row>
    <row r="613" spans="5:6" ht="15.75" customHeight="1">
      <c r="E613" s="29"/>
      <c r="F613" s="21"/>
    </row>
    <row r="614" spans="5:6" ht="15.75" customHeight="1">
      <c r="E614" s="29"/>
      <c r="F614" s="21"/>
    </row>
    <row r="615" spans="5:6" ht="15.75" customHeight="1">
      <c r="E615" s="29"/>
      <c r="F615" s="21"/>
    </row>
    <row r="616" spans="5:6" ht="15.75" customHeight="1">
      <c r="E616" s="29"/>
      <c r="F616" s="21"/>
    </row>
    <row r="617" spans="5:6" ht="15.75" customHeight="1">
      <c r="E617" s="29"/>
      <c r="F617" s="21"/>
    </row>
    <row r="618" spans="5:6" ht="15.75" customHeight="1">
      <c r="E618" s="29"/>
      <c r="F618" s="21"/>
    </row>
    <row r="619" spans="5:6" ht="15.75" customHeight="1">
      <c r="E619" s="29"/>
      <c r="F619" s="21"/>
    </row>
    <row r="620" spans="5:6" ht="15.75" customHeight="1">
      <c r="E620" s="29"/>
      <c r="F620" s="21"/>
    </row>
    <row r="621" spans="5:6" ht="15.75" customHeight="1">
      <c r="E621" s="29"/>
      <c r="F621" s="21"/>
    </row>
    <row r="622" spans="5:6" ht="15.75" customHeight="1">
      <c r="E622" s="29"/>
      <c r="F622" s="21"/>
    </row>
    <row r="623" spans="5:6" ht="15.75" customHeight="1">
      <c r="E623" s="29"/>
      <c r="F623" s="21"/>
    </row>
    <row r="624" spans="5:6" ht="15.75" customHeight="1">
      <c r="E624" s="29"/>
      <c r="F624" s="21"/>
    </row>
    <row r="625" spans="5:6" ht="15.75" customHeight="1">
      <c r="E625" s="29"/>
      <c r="F625" s="21"/>
    </row>
    <row r="626" spans="5:6" ht="15.75" customHeight="1">
      <c r="E626" s="29"/>
      <c r="F626" s="21"/>
    </row>
    <row r="627" spans="5:6" ht="15.75" customHeight="1">
      <c r="E627" s="29"/>
      <c r="F627" s="21"/>
    </row>
    <row r="628" spans="5:6" ht="15.75" customHeight="1">
      <c r="E628" s="29"/>
      <c r="F628" s="21"/>
    </row>
    <row r="629" spans="5:6" ht="15.75" customHeight="1">
      <c r="E629" s="29"/>
      <c r="F629" s="21"/>
    </row>
    <row r="630" spans="5:6" ht="15.75" customHeight="1">
      <c r="E630" s="29"/>
      <c r="F630" s="21"/>
    </row>
    <row r="631" spans="5:6" ht="15.75" customHeight="1">
      <c r="E631" s="25"/>
      <c r="F631" s="21"/>
    </row>
    <row r="632" spans="5:6" ht="15.75" customHeight="1">
      <c r="E632" s="25"/>
      <c r="F632" s="21"/>
    </row>
    <row r="633" spans="5:6" ht="15.75" customHeight="1">
      <c r="E633" s="25"/>
      <c r="F633" s="21"/>
    </row>
    <row r="634" spans="5:6" ht="15.75" customHeight="1">
      <c r="E634" s="25"/>
      <c r="F634" s="21"/>
    </row>
    <row r="635" spans="5:6" ht="15.75" customHeight="1">
      <c r="E635" s="25"/>
      <c r="F635" s="21"/>
    </row>
    <row r="636" spans="5:6" ht="15.75" customHeight="1">
      <c r="E636" s="25"/>
      <c r="F636" s="21"/>
    </row>
    <row r="637" spans="5:6" ht="15.75" customHeight="1">
      <c r="E637" s="25"/>
      <c r="F637" s="21"/>
    </row>
    <row r="638" spans="5:6" ht="15.75" customHeight="1">
      <c r="E638" s="25"/>
      <c r="F638" s="21"/>
    </row>
    <row r="639" spans="5:6" ht="15.75" customHeight="1">
      <c r="E639" s="25"/>
      <c r="F639" s="21"/>
    </row>
    <row r="640" spans="5:6" ht="15.75" customHeight="1">
      <c r="E640" s="25"/>
      <c r="F640" s="21"/>
    </row>
    <row r="641" spans="5:6" ht="15.75" customHeight="1">
      <c r="E641" s="25"/>
      <c r="F641" s="21"/>
    </row>
    <row r="642" spans="5:6" ht="15.75" customHeight="1">
      <c r="E642" s="25"/>
      <c r="F642" s="21"/>
    </row>
    <row r="643" spans="5:6" ht="15.75" customHeight="1">
      <c r="E643" s="25"/>
      <c r="F643" s="21"/>
    </row>
    <row r="644" spans="5:6" ht="15.75" customHeight="1">
      <c r="E644" s="25"/>
      <c r="F644" s="21"/>
    </row>
    <row r="645" spans="5:6" ht="15.75" customHeight="1">
      <c r="E645" s="25"/>
      <c r="F645" s="21"/>
    </row>
    <row r="646" spans="5:6" ht="15.75" customHeight="1">
      <c r="E646" s="25"/>
      <c r="F646" s="21"/>
    </row>
    <row r="647" spans="5:6" ht="15.75" customHeight="1">
      <c r="E647" s="25"/>
      <c r="F647" s="21"/>
    </row>
    <row r="648" spans="5:6" ht="15.75" customHeight="1">
      <c r="E648" s="25"/>
      <c r="F648" s="21"/>
    </row>
    <row r="649" spans="5:6" ht="15.75" customHeight="1">
      <c r="E649" s="25"/>
      <c r="F649" s="21"/>
    </row>
    <row r="650" spans="5:6" ht="15.75" customHeight="1">
      <c r="E650" s="25"/>
      <c r="F650" s="21"/>
    </row>
    <row r="651" spans="5:6" ht="15.75" customHeight="1">
      <c r="E651" s="21"/>
      <c r="F651" s="21"/>
    </row>
    <row r="652" spans="5:6" ht="15.75" customHeight="1">
      <c r="E652" s="22"/>
      <c r="F652" s="21"/>
    </row>
    <row r="653" spans="5:6" ht="15.75" customHeight="1">
      <c r="E653" s="22" t="s">
        <v>5</v>
      </c>
      <c r="F653" s="21"/>
    </row>
    <row r="654" spans="5:6" ht="15.75" customHeight="1">
      <c r="E654" s="29"/>
      <c r="F654" s="21"/>
    </row>
    <row r="655" spans="5:6" ht="15.75" customHeight="1">
      <c r="E655" s="29"/>
      <c r="F655" s="21"/>
    </row>
    <row r="656" spans="5:6" ht="15.75" customHeight="1">
      <c r="E656" s="29"/>
      <c r="F656" s="21"/>
    </row>
    <row r="657" spans="5:6" ht="15.75" customHeight="1">
      <c r="E657" s="29"/>
      <c r="F657" s="21"/>
    </row>
    <row r="658" spans="5:6" ht="15.75" customHeight="1">
      <c r="E658" s="29"/>
      <c r="F658" s="21"/>
    </row>
    <row r="659" spans="5:6" ht="15.75" customHeight="1">
      <c r="E659" s="29"/>
      <c r="F659" s="21"/>
    </row>
    <row r="660" spans="5:6" ht="15.75" customHeight="1">
      <c r="E660" s="29"/>
      <c r="F660" s="21"/>
    </row>
    <row r="661" spans="5:6" ht="15.75" customHeight="1">
      <c r="E661" s="29"/>
      <c r="F661" s="21"/>
    </row>
    <row r="662" spans="5:6" ht="15.75" customHeight="1">
      <c r="E662" s="29"/>
      <c r="F662" s="21"/>
    </row>
    <row r="663" spans="5:6" ht="15.75" customHeight="1">
      <c r="E663" s="29"/>
      <c r="F663" s="21"/>
    </row>
    <row r="664" spans="5:6" ht="15.75" customHeight="1">
      <c r="E664" s="29"/>
      <c r="F664" s="21"/>
    </row>
    <row r="665" spans="5:6" ht="15.75" customHeight="1">
      <c r="E665" s="29"/>
      <c r="F665" s="21"/>
    </row>
    <row r="666" spans="5:6" ht="15.75" customHeight="1">
      <c r="E666" s="29"/>
      <c r="F666" s="21"/>
    </row>
    <row r="667" spans="5:6" ht="15.75" customHeight="1">
      <c r="E667" s="29"/>
      <c r="F667" s="21"/>
    </row>
    <row r="668" spans="5:6" ht="15.75" customHeight="1">
      <c r="E668" s="29"/>
      <c r="F668" s="21"/>
    </row>
    <row r="669" spans="5:6" ht="15.75" customHeight="1">
      <c r="E669" s="29"/>
      <c r="F669" s="21"/>
    </row>
    <row r="670" spans="5:6" ht="15.75" customHeight="1">
      <c r="E670" s="29"/>
      <c r="F670" s="21"/>
    </row>
    <row r="671" spans="5:6" ht="15.75" customHeight="1">
      <c r="E671" s="29"/>
      <c r="F671" s="21"/>
    </row>
    <row r="672" spans="5:6" ht="15.75" customHeight="1">
      <c r="E672" s="29"/>
      <c r="F672" s="21"/>
    </row>
    <row r="673" spans="5:6" ht="15.75" customHeight="1">
      <c r="E673" s="29"/>
      <c r="F673" s="21"/>
    </row>
    <row r="674" spans="5:6" ht="15.75" customHeight="1">
      <c r="E674" s="29"/>
      <c r="F674" s="21"/>
    </row>
    <row r="675" spans="5:6" ht="15.75" customHeight="1">
      <c r="E675" s="29"/>
      <c r="F675" s="21"/>
    </row>
    <row r="676" spans="5:6" ht="15.75" customHeight="1">
      <c r="E676" s="29"/>
      <c r="F676" s="21"/>
    </row>
    <row r="677" spans="5:6" ht="15.75" customHeight="1">
      <c r="E677" s="29"/>
      <c r="F677" s="21"/>
    </row>
    <row r="678" spans="5:6" ht="15.75" customHeight="1">
      <c r="E678" s="29"/>
      <c r="F678" s="21"/>
    </row>
    <row r="679" spans="5:6" ht="15.75" customHeight="1">
      <c r="E679" s="29"/>
      <c r="F679" s="21"/>
    </row>
    <row r="680" spans="5:6" ht="15.75" customHeight="1">
      <c r="E680" s="29"/>
      <c r="F680" s="21"/>
    </row>
    <row r="681" spans="5:6" ht="15.75" customHeight="1">
      <c r="E681" s="25"/>
      <c r="F681" s="21"/>
    </row>
    <row r="682" spans="5:6" ht="15.75" customHeight="1">
      <c r="E682" s="25"/>
      <c r="F682" s="21"/>
    </row>
    <row r="683" spans="5:6" ht="15.75" customHeight="1">
      <c r="E683" s="25"/>
      <c r="F683" s="21"/>
    </row>
    <row r="684" spans="5:6" ht="15.75" customHeight="1">
      <c r="E684" s="25"/>
      <c r="F684" s="21"/>
    </row>
    <row r="685" spans="5:6" ht="15.75" customHeight="1">
      <c r="E685" s="25"/>
      <c r="F685" s="21"/>
    </row>
    <row r="686" spans="5:6" ht="15.75" customHeight="1">
      <c r="E686" s="25"/>
      <c r="F686" s="21"/>
    </row>
    <row r="687" spans="5:6" ht="15.75" customHeight="1">
      <c r="E687" s="25"/>
      <c r="F687" s="21"/>
    </row>
    <row r="688" spans="5:6" ht="15.75" customHeight="1">
      <c r="E688" s="25"/>
      <c r="F688" s="21"/>
    </row>
    <row r="689" spans="5:6" ht="15.75" customHeight="1">
      <c r="E689" s="25"/>
      <c r="F689" s="21"/>
    </row>
    <row r="690" spans="5:6" ht="15.75" customHeight="1">
      <c r="E690" s="25"/>
      <c r="F690" s="21"/>
    </row>
    <row r="691" spans="5:6" ht="15.75" customHeight="1">
      <c r="E691" s="25"/>
      <c r="F691" s="21"/>
    </row>
    <row r="692" spans="5:6" ht="15.75" customHeight="1">
      <c r="E692" s="25"/>
      <c r="F692" s="21"/>
    </row>
    <row r="693" spans="5:6" ht="15.75" customHeight="1">
      <c r="E693" s="25"/>
      <c r="F693" s="21"/>
    </row>
    <row r="694" spans="5:6" ht="15.75" customHeight="1">
      <c r="E694" s="25"/>
      <c r="F694" s="21"/>
    </row>
    <row r="695" spans="5:6" ht="15.75" customHeight="1">
      <c r="E695" s="25"/>
      <c r="F695" s="21"/>
    </row>
    <row r="696" spans="5:6" ht="15.75" customHeight="1">
      <c r="E696" s="25"/>
      <c r="F696" s="21"/>
    </row>
    <row r="697" spans="5:6" ht="15.75" customHeight="1">
      <c r="E697" s="25"/>
      <c r="F697" s="21"/>
    </row>
    <row r="698" spans="5:6" ht="15.75" customHeight="1">
      <c r="E698" s="25"/>
      <c r="F698" s="21"/>
    </row>
    <row r="699" spans="5:6" ht="15.75" customHeight="1">
      <c r="E699" s="25"/>
      <c r="F699" s="21"/>
    </row>
    <row r="700" spans="5:6" ht="15.75" customHeight="1">
      <c r="E700" s="25"/>
      <c r="F700" s="21"/>
    </row>
    <row r="701" spans="5:6" ht="15.75" customHeight="1">
      <c r="E701" s="21"/>
      <c r="F701" s="21"/>
    </row>
    <row r="702" spans="5:6" ht="15.75" customHeight="1">
      <c r="E702" s="22"/>
      <c r="F702" s="21"/>
    </row>
    <row r="703" spans="5:6" ht="15.75" customHeight="1">
      <c r="E703" s="22" t="s">
        <v>5</v>
      </c>
      <c r="F703" s="21"/>
    </row>
    <row r="704" spans="5:6" ht="15.75" customHeight="1">
      <c r="E704" s="29"/>
      <c r="F704" s="21"/>
    </row>
    <row r="705" spans="5:6" ht="15.75" customHeight="1">
      <c r="E705" s="29"/>
      <c r="F705" s="21"/>
    </row>
    <row r="706" spans="5:6" ht="15.75" customHeight="1">
      <c r="E706" s="29"/>
      <c r="F706" s="21"/>
    </row>
    <row r="707" spans="5:6" ht="15.75" customHeight="1">
      <c r="E707" s="29"/>
      <c r="F707" s="21"/>
    </row>
    <row r="708" spans="5:6" ht="15.75" customHeight="1">
      <c r="E708" s="29"/>
      <c r="F708" s="21"/>
    </row>
    <row r="709" spans="5:6" ht="15.75" customHeight="1">
      <c r="E709" s="29"/>
      <c r="F709" s="21"/>
    </row>
    <row r="710" spans="5:6" ht="15.75" customHeight="1">
      <c r="E710" s="29"/>
      <c r="F710" s="21"/>
    </row>
    <row r="711" spans="5:6" ht="15.75" customHeight="1">
      <c r="E711" s="29"/>
      <c r="F711" s="21"/>
    </row>
    <row r="712" spans="5:6" ht="15.75" customHeight="1">
      <c r="E712" s="29"/>
      <c r="F712" s="21"/>
    </row>
    <row r="713" spans="5:6" ht="15.75" customHeight="1">
      <c r="E713" s="29"/>
      <c r="F713" s="21"/>
    </row>
    <row r="714" spans="5:6" ht="15.75" customHeight="1">
      <c r="E714" s="29"/>
      <c r="F714" s="21"/>
    </row>
    <row r="715" spans="5:6" ht="15.75" customHeight="1">
      <c r="E715" s="29"/>
      <c r="F715" s="21"/>
    </row>
    <row r="716" spans="5:6" ht="15.75" customHeight="1">
      <c r="E716" s="29"/>
      <c r="F716" s="21"/>
    </row>
    <row r="717" spans="5:6" ht="15.75" customHeight="1">
      <c r="E717" s="29"/>
      <c r="F717" s="21"/>
    </row>
    <row r="718" spans="5:6" ht="15.75" customHeight="1">
      <c r="E718" s="29"/>
      <c r="F718" s="21"/>
    </row>
    <row r="719" spans="5:6" ht="15.75" customHeight="1">
      <c r="E719" s="29"/>
      <c r="F719" s="21"/>
    </row>
    <row r="720" spans="5:6" ht="15.75" customHeight="1">
      <c r="E720" s="29"/>
      <c r="F720" s="21"/>
    </row>
    <row r="721" spans="5:6" ht="15.75" customHeight="1">
      <c r="E721" s="29"/>
      <c r="F721" s="21"/>
    </row>
    <row r="722" spans="5:6" ht="15.75" customHeight="1">
      <c r="E722" s="29"/>
      <c r="F722" s="21"/>
    </row>
    <row r="723" spans="5:6" ht="15.75" customHeight="1">
      <c r="E723" s="29"/>
      <c r="F723" s="21"/>
    </row>
    <row r="724" spans="5:6" ht="15.75" customHeight="1">
      <c r="E724" s="29"/>
      <c r="F724" s="21"/>
    </row>
    <row r="725" spans="5:6" ht="15.75" customHeight="1">
      <c r="E725" s="29"/>
      <c r="F725" s="21"/>
    </row>
    <row r="726" spans="5:6" ht="15.75" customHeight="1">
      <c r="E726" s="29"/>
      <c r="F726" s="21"/>
    </row>
    <row r="727" spans="5:6" ht="15.75" customHeight="1">
      <c r="E727" s="29"/>
      <c r="F727" s="21"/>
    </row>
    <row r="728" spans="5:6" ht="15.75" customHeight="1">
      <c r="E728" s="29"/>
      <c r="F728" s="21"/>
    </row>
    <row r="729" spans="5:6" ht="15.75" customHeight="1">
      <c r="E729" s="29"/>
      <c r="F729" s="21"/>
    </row>
    <row r="730" spans="5:6" ht="15.75" customHeight="1">
      <c r="E730" s="29"/>
      <c r="F730" s="21"/>
    </row>
    <row r="731" spans="5:6" ht="15.75" customHeight="1">
      <c r="E731" s="25"/>
      <c r="F731" s="21"/>
    </row>
    <row r="732" spans="5:6" ht="15.75" customHeight="1">
      <c r="E732" s="25"/>
      <c r="F732" s="21"/>
    </row>
    <row r="733" spans="5:6" ht="15.75" customHeight="1">
      <c r="E733" s="25"/>
      <c r="F733" s="21"/>
    </row>
    <row r="734" spans="5:6" ht="15.75" customHeight="1">
      <c r="E734" s="25"/>
      <c r="F734" s="21"/>
    </row>
    <row r="735" spans="5:6" ht="15.75" customHeight="1">
      <c r="E735" s="25"/>
      <c r="F735" s="21"/>
    </row>
    <row r="736" spans="5:6" ht="15.75" customHeight="1">
      <c r="E736" s="25"/>
      <c r="F736" s="21"/>
    </row>
    <row r="737" spans="5:6" ht="15.75" customHeight="1">
      <c r="E737" s="25"/>
      <c r="F737" s="21"/>
    </row>
    <row r="738" spans="5:6" ht="15.75" customHeight="1">
      <c r="E738" s="25"/>
      <c r="F738" s="21"/>
    </row>
    <row r="739" spans="5:6" ht="15.75" customHeight="1">
      <c r="E739" s="25"/>
      <c r="F739" s="21"/>
    </row>
    <row r="740" spans="5:6" ht="15.75" customHeight="1">
      <c r="E740" s="25"/>
      <c r="F740" s="21"/>
    </row>
    <row r="741" spans="5:6" ht="15.75" customHeight="1">
      <c r="E741" s="25"/>
      <c r="F741" s="21"/>
    </row>
    <row r="742" spans="5:6" ht="15.75" customHeight="1">
      <c r="E742" s="25"/>
      <c r="F742" s="21"/>
    </row>
    <row r="743" spans="5:6" ht="15.75" customHeight="1">
      <c r="E743" s="25"/>
      <c r="F743" s="21"/>
    </row>
    <row r="744" spans="5:6" ht="15.75" customHeight="1">
      <c r="E744" s="25"/>
      <c r="F744" s="21"/>
    </row>
    <row r="745" spans="5:6" ht="15.75" customHeight="1">
      <c r="E745" s="25"/>
      <c r="F745" s="21"/>
    </row>
    <row r="746" spans="5:6" ht="15.75" customHeight="1">
      <c r="E746" s="25"/>
      <c r="F746" s="21"/>
    </row>
    <row r="747" spans="5:6" ht="15.75" customHeight="1">
      <c r="E747" s="25"/>
      <c r="F747" s="21"/>
    </row>
    <row r="748" spans="5:6" ht="15.75" customHeight="1">
      <c r="E748" s="25"/>
      <c r="F748" s="21"/>
    </row>
    <row r="749" spans="5:6" ht="15.75" customHeight="1">
      <c r="E749" s="25"/>
      <c r="F749" s="21"/>
    </row>
    <row r="750" spans="5:6" ht="15.75" customHeight="1">
      <c r="E750" s="25"/>
      <c r="F750" s="21"/>
    </row>
    <row r="751" spans="5:6" ht="15.75" customHeight="1">
      <c r="E751" s="21"/>
      <c r="F751" s="21"/>
    </row>
    <row r="752" spans="5:6" ht="15.75" customHeight="1">
      <c r="E752" s="22"/>
      <c r="F752" s="21"/>
    </row>
    <row r="753" spans="5:6" ht="15.75" customHeight="1">
      <c r="E753" s="22" t="s">
        <v>5</v>
      </c>
      <c r="F753" s="21"/>
    </row>
    <row r="754" spans="5:6" ht="15.75" customHeight="1">
      <c r="E754" s="29"/>
      <c r="F754" s="21"/>
    </row>
    <row r="755" spans="5:6" ht="15.75" customHeight="1">
      <c r="E755" s="29"/>
      <c r="F755" s="21"/>
    </row>
    <row r="756" spans="5:6" ht="15.75" customHeight="1">
      <c r="E756" s="29"/>
      <c r="F756" s="21"/>
    </row>
    <row r="757" spans="5:6" ht="15.75" customHeight="1">
      <c r="E757" s="29"/>
      <c r="F757" s="21"/>
    </row>
    <row r="758" spans="5:6" ht="15.75" customHeight="1">
      <c r="E758" s="29"/>
      <c r="F758" s="21"/>
    </row>
    <row r="759" spans="5:6" ht="15.75" customHeight="1">
      <c r="E759" s="29"/>
      <c r="F759" s="21"/>
    </row>
    <row r="760" spans="5:6" ht="15.75" customHeight="1">
      <c r="E760" s="29"/>
      <c r="F760" s="21"/>
    </row>
    <row r="761" spans="5:6" ht="15.75" customHeight="1">
      <c r="E761" s="29"/>
      <c r="F761" s="21"/>
    </row>
    <row r="762" spans="5:6" ht="15.75" customHeight="1">
      <c r="E762" s="29"/>
      <c r="F762" s="21"/>
    </row>
    <row r="763" spans="5:6" ht="15.75" customHeight="1">
      <c r="E763" s="29"/>
      <c r="F763" s="21"/>
    </row>
    <row r="764" spans="5:6" ht="15.75" customHeight="1">
      <c r="E764" s="29"/>
      <c r="F764" s="21"/>
    </row>
    <row r="765" spans="5:6" ht="15.75" customHeight="1">
      <c r="E765" s="29"/>
      <c r="F765" s="21"/>
    </row>
    <row r="766" spans="5:6" ht="15.75" customHeight="1">
      <c r="E766" s="29"/>
      <c r="F766" s="21"/>
    </row>
    <row r="767" spans="5:6" ht="15.75" customHeight="1">
      <c r="E767" s="29"/>
      <c r="F767" s="21"/>
    </row>
    <row r="768" spans="5:6" ht="15.75" customHeight="1">
      <c r="E768" s="29"/>
      <c r="F768" s="21"/>
    </row>
    <row r="769" spans="5:6" ht="15.75" customHeight="1">
      <c r="E769" s="29"/>
      <c r="F769" s="21"/>
    </row>
    <row r="770" spans="5:6" ht="15.75" customHeight="1">
      <c r="E770" s="29"/>
      <c r="F770" s="21"/>
    </row>
    <row r="771" spans="5:6" ht="15.75" customHeight="1">
      <c r="E771" s="29"/>
      <c r="F771" s="21"/>
    </row>
    <row r="772" spans="5:6" ht="15.75" customHeight="1">
      <c r="E772" s="29"/>
      <c r="F772" s="21"/>
    </row>
    <row r="773" spans="5:6" ht="15.75" customHeight="1">
      <c r="E773" s="29"/>
      <c r="F773" s="21"/>
    </row>
    <row r="774" spans="5:6" ht="15.75" customHeight="1">
      <c r="E774" s="29"/>
      <c r="F774" s="21"/>
    </row>
    <row r="775" spans="5:6" ht="15.75" customHeight="1">
      <c r="E775" s="29"/>
      <c r="F775" s="21"/>
    </row>
    <row r="776" spans="5:6" ht="15.75" customHeight="1">
      <c r="E776" s="29"/>
      <c r="F776" s="21"/>
    </row>
    <row r="777" spans="5:6" ht="15.75" customHeight="1">
      <c r="E777" s="29"/>
      <c r="F777" s="21"/>
    </row>
    <row r="778" spans="5:6" ht="15.75" customHeight="1">
      <c r="E778" s="29"/>
      <c r="F778" s="21"/>
    </row>
    <row r="779" spans="5:6" ht="15.75" customHeight="1">
      <c r="E779" s="29"/>
      <c r="F779" s="21"/>
    </row>
    <row r="780" spans="5:6" ht="15.75" customHeight="1">
      <c r="E780" s="29"/>
      <c r="F780" s="21"/>
    </row>
    <row r="781" spans="5:6" ht="15.75" customHeight="1">
      <c r="E781" s="25"/>
      <c r="F781" s="21"/>
    </row>
    <row r="782" spans="5:6" ht="15.75" customHeight="1">
      <c r="E782" s="25"/>
      <c r="F782" s="21"/>
    </row>
    <row r="783" spans="5:6" ht="15.75" customHeight="1">
      <c r="E783" s="25"/>
      <c r="F783" s="21"/>
    </row>
    <row r="784" spans="5:6" ht="15.75" customHeight="1">
      <c r="E784" s="25"/>
      <c r="F784" s="21"/>
    </row>
    <row r="785" spans="5:6" ht="15.75" customHeight="1">
      <c r="E785" s="25"/>
      <c r="F785" s="21"/>
    </row>
    <row r="786" spans="5:6" ht="15.75" customHeight="1">
      <c r="E786" s="25"/>
      <c r="F786" s="21"/>
    </row>
    <row r="787" spans="5:6" ht="15.75" customHeight="1">
      <c r="E787" s="25"/>
      <c r="F787" s="21"/>
    </row>
    <row r="788" spans="5:6" ht="15.75" customHeight="1">
      <c r="E788" s="25"/>
      <c r="F788" s="21"/>
    </row>
    <row r="789" spans="5:6" ht="15.75" customHeight="1">
      <c r="E789" s="25"/>
      <c r="F789" s="21"/>
    </row>
    <row r="790" spans="5:6" ht="15.75" customHeight="1">
      <c r="E790" s="25"/>
      <c r="F790" s="21"/>
    </row>
    <row r="791" spans="5:6" ht="15.75" customHeight="1">
      <c r="E791" s="25"/>
      <c r="F791" s="21"/>
    </row>
    <row r="792" spans="5:6" ht="15.75" customHeight="1">
      <c r="E792" s="25"/>
      <c r="F792" s="21"/>
    </row>
    <row r="793" spans="5:6" ht="15.75" customHeight="1">
      <c r="E793" s="25"/>
      <c r="F793" s="21"/>
    </row>
    <row r="794" spans="5:6" ht="15.75" customHeight="1">
      <c r="E794" s="25"/>
      <c r="F794" s="21"/>
    </row>
    <row r="795" spans="5:6" ht="15.75" customHeight="1">
      <c r="E795" s="25"/>
      <c r="F795" s="21"/>
    </row>
    <row r="796" spans="5:6" ht="15.75" customHeight="1">
      <c r="E796" s="25"/>
      <c r="F796" s="21"/>
    </row>
    <row r="797" spans="5:6" ht="15.75" customHeight="1">
      <c r="E797" s="25"/>
      <c r="F797" s="21"/>
    </row>
    <row r="798" spans="5:6" ht="15.75" customHeight="1">
      <c r="E798" s="25"/>
      <c r="F798" s="21"/>
    </row>
    <row r="799" spans="5:6" ht="15.75" customHeight="1">
      <c r="E799" s="25"/>
      <c r="F799" s="21"/>
    </row>
    <row r="800" spans="5:6" ht="15.75" customHeight="1">
      <c r="E800" s="25"/>
      <c r="F800" s="21"/>
    </row>
    <row r="801" spans="5:6" ht="15.75" customHeight="1">
      <c r="E801" s="21"/>
      <c r="F801" s="21"/>
    </row>
    <row r="802" spans="5:6" ht="15.75" customHeight="1">
      <c r="E802" s="22"/>
      <c r="F802" s="21"/>
    </row>
    <row r="803" spans="5:6" ht="15.75" customHeight="1">
      <c r="E803" s="22" t="s">
        <v>5</v>
      </c>
      <c r="F803" s="21"/>
    </row>
    <row r="804" spans="5:6" ht="15.75" customHeight="1">
      <c r="E804" s="29"/>
      <c r="F804" s="21"/>
    </row>
    <row r="805" spans="5:6" ht="15.75" customHeight="1">
      <c r="E805" s="29"/>
      <c r="F805" s="21"/>
    </row>
    <row r="806" spans="5:6" ht="15.75" customHeight="1">
      <c r="E806" s="29"/>
      <c r="F806" s="21"/>
    </row>
    <row r="807" spans="5:6" ht="15.75" customHeight="1">
      <c r="E807" s="29"/>
      <c r="F807" s="21"/>
    </row>
    <row r="808" spans="5:6" ht="15.75" customHeight="1">
      <c r="E808" s="29"/>
      <c r="F808" s="21"/>
    </row>
    <row r="809" spans="5:6" ht="15.75" customHeight="1">
      <c r="E809" s="29"/>
      <c r="F809" s="21"/>
    </row>
    <row r="810" spans="5:6" ht="15.75" customHeight="1">
      <c r="E810" s="29"/>
      <c r="F810" s="21"/>
    </row>
    <row r="811" spans="5:6" ht="15.75" customHeight="1">
      <c r="E811" s="29"/>
      <c r="F811" s="21"/>
    </row>
    <row r="812" spans="5:6" ht="15.75" customHeight="1">
      <c r="E812" s="29"/>
      <c r="F812" s="21"/>
    </row>
    <row r="813" spans="5:6" ht="15.75" customHeight="1">
      <c r="E813" s="29"/>
      <c r="F813" s="21"/>
    </row>
    <row r="814" spans="5:6" ht="15.75" customHeight="1">
      <c r="E814" s="29"/>
      <c r="F814" s="21"/>
    </row>
    <row r="815" spans="5:6" ht="15.75" customHeight="1">
      <c r="E815" s="29"/>
      <c r="F815" s="21"/>
    </row>
    <row r="816" spans="5:6" ht="15.75" customHeight="1">
      <c r="E816" s="29"/>
      <c r="F816" s="21"/>
    </row>
    <row r="817" spans="5:6" ht="15.75" customHeight="1">
      <c r="E817" s="29"/>
      <c r="F817" s="21"/>
    </row>
    <row r="818" spans="5:6" ht="15.75" customHeight="1">
      <c r="E818" s="29"/>
      <c r="F818" s="21"/>
    </row>
    <row r="819" spans="5:6" ht="15.75" customHeight="1">
      <c r="E819" s="29"/>
      <c r="F819" s="21"/>
    </row>
    <row r="820" spans="5:6" ht="15.75" customHeight="1">
      <c r="E820" s="29"/>
      <c r="F820" s="21"/>
    </row>
    <row r="821" spans="5:6" ht="15.75" customHeight="1">
      <c r="E821" s="29"/>
      <c r="F821" s="21"/>
    </row>
    <row r="822" spans="5:6" ht="15.75" customHeight="1">
      <c r="E822" s="29"/>
      <c r="F822" s="21"/>
    </row>
    <row r="823" spans="5:6" ht="15.75" customHeight="1">
      <c r="E823" s="29"/>
      <c r="F823" s="21"/>
    </row>
    <row r="824" spans="5:6" ht="15.75" customHeight="1">
      <c r="E824" s="29"/>
      <c r="F824" s="21"/>
    </row>
    <row r="825" spans="5:6" ht="15.75" customHeight="1">
      <c r="E825" s="29"/>
      <c r="F825" s="21"/>
    </row>
    <row r="826" spans="5:6" ht="15.75" customHeight="1">
      <c r="E826" s="29"/>
      <c r="F826" s="21"/>
    </row>
    <row r="827" spans="5:6" ht="15.75" customHeight="1">
      <c r="E827" s="29"/>
      <c r="F827" s="21"/>
    </row>
    <row r="828" spans="5:6" ht="15.75" customHeight="1">
      <c r="E828" s="29"/>
      <c r="F828" s="21"/>
    </row>
    <row r="829" spans="5:6" ht="15.75" customHeight="1">
      <c r="E829" s="29"/>
      <c r="F829" s="21"/>
    </row>
    <row r="830" spans="5:6" ht="15.75" customHeight="1">
      <c r="E830" s="29"/>
      <c r="F830" s="21"/>
    </row>
    <row r="831" spans="5:6" ht="15.75" customHeight="1">
      <c r="E831" s="25"/>
      <c r="F831" s="21"/>
    </row>
    <row r="832" spans="5:6" ht="15.75" customHeight="1">
      <c r="E832" s="25"/>
      <c r="F832" s="21"/>
    </row>
    <row r="833" spans="5:6" ht="15.75" customHeight="1">
      <c r="E833" s="25"/>
      <c r="F833" s="21"/>
    </row>
    <row r="834" spans="5:6" ht="15.75" customHeight="1">
      <c r="E834" s="25"/>
      <c r="F834" s="21"/>
    </row>
    <row r="835" spans="5:6" ht="15.75" customHeight="1">
      <c r="E835" s="25"/>
      <c r="F835" s="21"/>
    </row>
    <row r="836" spans="5:6" ht="15.75" customHeight="1">
      <c r="E836" s="25"/>
      <c r="F836" s="21"/>
    </row>
    <row r="837" spans="5:6" ht="15.75" customHeight="1">
      <c r="E837" s="25"/>
      <c r="F837" s="21"/>
    </row>
    <row r="838" spans="5:6" ht="15.75" customHeight="1">
      <c r="E838" s="25"/>
      <c r="F838" s="21"/>
    </row>
    <row r="839" spans="5:6" ht="15.75" customHeight="1">
      <c r="E839" s="25"/>
      <c r="F839" s="21"/>
    </row>
    <row r="840" spans="5:6" ht="15.75" customHeight="1">
      <c r="E840" s="25"/>
      <c r="F840" s="21"/>
    </row>
    <row r="841" spans="5:6" ht="15.75" customHeight="1">
      <c r="E841" s="25"/>
      <c r="F841" s="21"/>
    </row>
    <row r="842" spans="5:6" ht="15.75" customHeight="1">
      <c r="E842" s="25"/>
      <c r="F842" s="21"/>
    </row>
    <row r="843" spans="5:6" ht="15.75" customHeight="1">
      <c r="E843" s="25"/>
      <c r="F843" s="21"/>
    </row>
    <row r="844" spans="5:6" ht="15.75" customHeight="1">
      <c r="E844" s="25"/>
      <c r="F844" s="21"/>
    </row>
    <row r="845" spans="5:6" ht="15.75" customHeight="1">
      <c r="E845" s="25"/>
      <c r="F845" s="21"/>
    </row>
    <row r="846" spans="5:6" ht="15.75" customHeight="1">
      <c r="E846" s="25"/>
      <c r="F846" s="21"/>
    </row>
    <row r="847" spans="5:6" ht="15.75" customHeight="1">
      <c r="E847" s="25"/>
      <c r="F847" s="21"/>
    </row>
    <row r="848" spans="5:6" ht="15.75" customHeight="1">
      <c r="E848" s="25"/>
      <c r="F848" s="21"/>
    </row>
    <row r="849" spans="5:6" ht="15.75" customHeight="1">
      <c r="E849" s="25"/>
      <c r="F849" s="21"/>
    </row>
    <row r="850" spans="5:6" ht="15.75" customHeight="1">
      <c r="E850" s="25"/>
      <c r="F850" s="21"/>
    </row>
    <row r="851" spans="5:6" ht="15.75" customHeight="1">
      <c r="E851" s="21"/>
      <c r="F851" s="21"/>
    </row>
    <row r="852" spans="5:6" ht="15.75" customHeight="1">
      <c r="E852" s="22"/>
      <c r="F852" s="21"/>
    </row>
    <row r="853" spans="5:6" ht="15.75" customHeight="1">
      <c r="E853" s="22" t="s">
        <v>5</v>
      </c>
      <c r="F853" s="21"/>
    </row>
    <row r="854" spans="5:6" ht="15.75" customHeight="1">
      <c r="E854" s="29"/>
      <c r="F854" s="21"/>
    </row>
    <row r="855" spans="5:6" ht="15.75" customHeight="1">
      <c r="E855" s="29"/>
      <c r="F855" s="21"/>
    </row>
    <row r="856" spans="5:6" ht="15.75" customHeight="1">
      <c r="E856" s="29"/>
      <c r="F856" s="21"/>
    </row>
    <row r="857" spans="5:6" ht="15.75" customHeight="1">
      <c r="E857" s="29"/>
      <c r="F857" s="21"/>
    </row>
    <row r="858" spans="5:6" ht="15.75" customHeight="1">
      <c r="E858" s="29"/>
      <c r="F858" s="21"/>
    </row>
    <row r="859" spans="5:6" ht="15.75" customHeight="1">
      <c r="E859" s="29"/>
      <c r="F859" s="21"/>
    </row>
    <row r="860" spans="5:6" ht="15.75" customHeight="1">
      <c r="E860" s="29"/>
      <c r="F860" s="21"/>
    </row>
    <row r="861" spans="5:6" ht="15.75" customHeight="1">
      <c r="E861" s="29"/>
      <c r="F861" s="21"/>
    </row>
    <row r="862" spans="5:6" ht="15.75" customHeight="1">
      <c r="E862" s="29"/>
      <c r="F862" s="21"/>
    </row>
    <row r="863" spans="5:6" ht="15.75" customHeight="1">
      <c r="E863" s="29"/>
      <c r="F863" s="21"/>
    </row>
    <row r="864" spans="5:6" ht="15.75" customHeight="1">
      <c r="E864" s="29"/>
      <c r="F864" s="21"/>
    </row>
    <row r="865" spans="5:6" ht="15.75" customHeight="1">
      <c r="E865" s="29"/>
      <c r="F865" s="21"/>
    </row>
    <row r="866" spans="5:6" ht="15.75" customHeight="1">
      <c r="E866" s="29"/>
      <c r="F866" s="21"/>
    </row>
    <row r="867" spans="5:6" ht="15.75" customHeight="1">
      <c r="E867" s="29"/>
      <c r="F867" s="21"/>
    </row>
    <row r="868" spans="5:6" ht="15.75" customHeight="1">
      <c r="E868" s="29"/>
      <c r="F868" s="21"/>
    </row>
    <row r="869" spans="5:6" ht="15.75" customHeight="1">
      <c r="E869" s="29"/>
      <c r="F869" s="21"/>
    </row>
    <row r="870" spans="5:6" ht="15.75" customHeight="1">
      <c r="E870" s="29"/>
      <c r="F870" s="21"/>
    </row>
    <row r="871" spans="5:6" ht="15.75" customHeight="1">
      <c r="E871" s="29"/>
      <c r="F871" s="21"/>
    </row>
    <row r="872" spans="5:6" ht="15.75" customHeight="1">
      <c r="E872" s="29"/>
      <c r="F872" s="21"/>
    </row>
    <row r="873" spans="5:6" ht="15.75" customHeight="1">
      <c r="E873" s="29"/>
      <c r="F873" s="21"/>
    </row>
    <row r="874" spans="5:6" ht="15.75" customHeight="1">
      <c r="E874" s="29"/>
      <c r="F874" s="21"/>
    </row>
    <row r="875" spans="5:6" ht="15.75" customHeight="1">
      <c r="E875" s="29"/>
      <c r="F875" s="21"/>
    </row>
    <row r="876" spans="5:6" ht="15.75" customHeight="1">
      <c r="E876" s="29"/>
      <c r="F876" s="21"/>
    </row>
    <row r="877" spans="5:6" ht="15.75" customHeight="1">
      <c r="E877" s="29"/>
      <c r="F877" s="21"/>
    </row>
    <row r="878" spans="5:6" ht="15.75" customHeight="1">
      <c r="E878" s="29"/>
      <c r="F878" s="21"/>
    </row>
    <row r="879" spans="5:6" ht="15.75" customHeight="1">
      <c r="E879" s="29"/>
      <c r="F879" s="21"/>
    </row>
    <row r="880" spans="5:6" ht="15.75" customHeight="1">
      <c r="E880" s="29"/>
      <c r="F880" s="21"/>
    </row>
    <row r="881" spans="5:6" ht="15.75" customHeight="1">
      <c r="E881" s="25"/>
      <c r="F881" s="21"/>
    </row>
    <row r="882" spans="5:6" ht="15.75" customHeight="1">
      <c r="E882" s="25"/>
      <c r="F882" s="21"/>
    </row>
    <row r="883" spans="5:6" ht="15.75" customHeight="1">
      <c r="E883" s="25"/>
      <c r="F883" s="21"/>
    </row>
    <row r="884" spans="5:6" ht="15.75" customHeight="1">
      <c r="E884" s="25"/>
      <c r="F884" s="21"/>
    </row>
    <row r="885" spans="5:6" ht="15.75" customHeight="1">
      <c r="E885" s="25"/>
      <c r="F885" s="21"/>
    </row>
    <row r="886" spans="5:6" ht="15.75" customHeight="1">
      <c r="E886" s="25"/>
      <c r="F886" s="21"/>
    </row>
    <row r="887" spans="5:6" ht="15.75" customHeight="1">
      <c r="E887" s="25"/>
      <c r="F887" s="21"/>
    </row>
    <row r="888" spans="5:6" ht="15.75" customHeight="1">
      <c r="E888" s="25"/>
      <c r="F888" s="21"/>
    </row>
    <row r="889" spans="5:6" ht="15.75" customHeight="1">
      <c r="E889" s="25"/>
      <c r="F889" s="21"/>
    </row>
    <row r="890" spans="5:6" ht="15.75" customHeight="1">
      <c r="E890" s="25"/>
      <c r="F890" s="21"/>
    </row>
    <row r="891" spans="5:6" ht="15.75" customHeight="1">
      <c r="E891" s="25"/>
      <c r="F891" s="21"/>
    </row>
    <row r="892" spans="5:6" ht="15.75" customHeight="1">
      <c r="E892" s="25"/>
      <c r="F892" s="21"/>
    </row>
    <row r="893" spans="5:6" ht="15.75" customHeight="1">
      <c r="E893" s="25"/>
      <c r="F893" s="21"/>
    </row>
    <row r="894" spans="5:6" ht="15.75" customHeight="1">
      <c r="E894" s="25"/>
      <c r="F894" s="21"/>
    </row>
    <row r="895" spans="5:6" ht="15.75" customHeight="1">
      <c r="E895" s="25"/>
      <c r="F895" s="21"/>
    </row>
    <row r="896" spans="5:6" ht="15.75" customHeight="1">
      <c r="E896" s="25"/>
      <c r="F896" s="21"/>
    </row>
    <row r="897" spans="5:6" ht="15.75" customHeight="1">
      <c r="E897" s="25"/>
      <c r="F897" s="21"/>
    </row>
    <row r="898" spans="5:6" ht="15.75" customHeight="1">
      <c r="E898" s="25"/>
      <c r="F898" s="21"/>
    </row>
    <row r="899" spans="5:6" ht="15.75" customHeight="1">
      <c r="E899" s="25"/>
      <c r="F899" s="21"/>
    </row>
    <row r="900" spans="5:6" ht="15.75" customHeight="1">
      <c r="E900" s="25"/>
      <c r="F900" s="21"/>
    </row>
    <row r="901" spans="5:6" ht="15.75" customHeight="1">
      <c r="F901" s="21"/>
    </row>
    <row r="902" spans="5:6" ht="15.75" customHeight="1">
      <c r="F902" s="21"/>
    </row>
    <row r="903" spans="5:6" ht="15.75" customHeight="1">
      <c r="F903" s="21"/>
    </row>
    <row r="904" spans="5:6" ht="15.75" customHeight="1">
      <c r="F904" s="21"/>
    </row>
    <row r="905" spans="5:6" ht="15.75" customHeight="1">
      <c r="F905" s="21"/>
    </row>
    <row r="906" spans="5:6" ht="15.75" customHeight="1">
      <c r="F906" s="21"/>
    </row>
    <row r="907" spans="5:6" ht="15.75" customHeight="1">
      <c r="F907" s="21"/>
    </row>
    <row r="908" spans="5:6" ht="15.75" customHeight="1">
      <c r="F908" s="21"/>
    </row>
    <row r="909" spans="5:6" ht="15.75" customHeight="1">
      <c r="F909" s="21"/>
    </row>
    <row r="910" spans="5:6" ht="15.75" customHeight="1">
      <c r="F910" s="21"/>
    </row>
    <row r="911" spans="5:6" ht="15.75" customHeight="1">
      <c r="F911" s="21"/>
    </row>
    <row r="912" spans="5:6" ht="15.75" customHeight="1">
      <c r="F912" s="21"/>
    </row>
    <row r="913" spans="6:6" ht="15.75" customHeight="1">
      <c r="F913" s="21"/>
    </row>
    <row r="914" spans="6:6" ht="15.75" customHeight="1">
      <c r="F914" s="21"/>
    </row>
    <row r="915" spans="6:6" ht="15.75" customHeight="1">
      <c r="F915" s="21"/>
    </row>
    <row r="916" spans="6:6" ht="15.75" customHeight="1">
      <c r="F916" s="21"/>
    </row>
    <row r="917" spans="6:6" ht="15.75" customHeight="1">
      <c r="F917" s="21"/>
    </row>
    <row r="918" spans="6:6" ht="15.75" customHeight="1">
      <c r="F918" s="21"/>
    </row>
    <row r="919" spans="6:6" ht="15.75" customHeight="1">
      <c r="F919" s="21"/>
    </row>
    <row r="920" spans="6:6" ht="15.75" customHeight="1">
      <c r="F920" s="21"/>
    </row>
    <row r="921" spans="6:6" ht="15.75" customHeight="1">
      <c r="F921" s="21"/>
    </row>
    <row r="922" spans="6:6" ht="15.75" customHeight="1">
      <c r="F922" s="21"/>
    </row>
    <row r="923" spans="6:6" ht="15.75" customHeight="1">
      <c r="F923" s="21"/>
    </row>
    <row r="924" spans="6:6" ht="15.75" customHeight="1">
      <c r="F924" s="21"/>
    </row>
    <row r="925" spans="6:6" ht="15.75" customHeight="1">
      <c r="F925" s="21"/>
    </row>
    <row r="926" spans="6:6" ht="15.75" customHeight="1">
      <c r="F926" s="21"/>
    </row>
    <row r="927" spans="6:6" ht="15.75" customHeight="1">
      <c r="F927" s="21"/>
    </row>
    <row r="928" spans="6:6" ht="15.75" customHeight="1">
      <c r="F928" s="21"/>
    </row>
    <row r="929" spans="6:6" ht="15.75" customHeight="1">
      <c r="F929" s="21"/>
    </row>
    <row r="930" spans="6:6" ht="15.75" customHeight="1">
      <c r="F930" s="21"/>
    </row>
    <row r="931" spans="6:6" ht="15.75" customHeight="1">
      <c r="F931" s="21"/>
    </row>
    <row r="932" spans="6:6" ht="15.75" customHeight="1">
      <c r="F932" s="21"/>
    </row>
    <row r="933" spans="6:6" ht="15.75" customHeight="1">
      <c r="F933" s="21"/>
    </row>
    <row r="934" spans="6:6" ht="15.75" customHeight="1">
      <c r="F934" s="21"/>
    </row>
    <row r="935" spans="6:6" ht="15.75" customHeight="1">
      <c r="F935" s="21"/>
    </row>
    <row r="936" spans="6:6" ht="15.75" customHeight="1">
      <c r="F936" s="21"/>
    </row>
    <row r="937" spans="6:6" ht="15.75" customHeight="1">
      <c r="F937" s="21"/>
    </row>
    <row r="938" spans="6:6" ht="15.75" customHeight="1">
      <c r="F938" s="21"/>
    </row>
    <row r="939" spans="6:6" ht="15.75" customHeight="1">
      <c r="F939" s="21"/>
    </row>
    <row r="940" spans="6:6" ht="15.75" customHeight="1">
      <c r="F940" s="21"/>
    </row>
    <row r="941" spans="6:6" ht="15.75" customHeight="1">
      <c r="F941" s="21"/>
    </row>
    <row r="942" spans="6:6" ht="15.75" customHeight="1">
      <c r="F942" s="21"/>
    </row>
    <row r="943" spans="6:6" ht="15.75" customHeight="1">
      <c r="F943" s="21"/>
    </row>
    <row r="944" spans="6:6" ht="15.75" customHeight="1">
      <c r="F944" s="21"/>
    </row>
    <row r="945" spans="6:6" ht="15.75" customHeight="1">
      <c r="F945" s="21"/>
    </row>
    <row r="946" spans="6:6" ht="15.75" customHeight="1">
      <c r="F946" s="2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9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</xm:sqref>
        </x14:dataValidation>
        <x14:dataValidation type="list" allowBlank="1" showErrorMessage="1" xr:uid="{00000000-0002-0000-09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9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95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5.5" customWidth="1"/>
    <col min="2" max="2" width="36.83203125" customWidth="1"/>
    <col min="3" max="3" width="20.5" customWidth="1"/>
    <col min="4" max="4" width="11.33203125" customWidth="1"/>
    <col min="5" max="5" width="45.33203125" customWidth="1"/>
    <col min="6" max="6" width="38.33203125" customWidth="1"/>
    <col min="7" max="7" width="26.1640625" customWidth="1"/>
    <col min="8" max="8" width="17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2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9">
        <v>10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  <c r="N4" s="7" t="e">
        <f t="array" aca="1" ref="N4" ca="1">INDEX(códigos!E:E,MATCH(D4,códigos!F:F,0))</f>
        <v>#N/A</v>
      </c>
    </row>
    <row r="5" spans="1:30" ht="15.75" customHeight="1">
      <c r="A5" s="29">
        <v>10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7" t="e">
        <f t="array" aca="1" ref="N5" ca="1">INDEX(códigos!E:E,MATCH(D5,códigos!F:F,0))</f>
        <v>#N/A</v>
      </c>
    </row>
    <row r="6" spans="1:30" ht="15.75" customHeight="1">
      <c r="A6" s="29">
        <v>10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7" t="e">
        <f t="array" aca="1" ref="N6" ca="1">INDEX(códigos!E:E,MATCH(D6,códigos!F:F,0))</f>
        <v>#N/A</v>
      </c>
    </row>
    <row r="7" spans="1:30" ht="15.75" customHeight="1">
      <c r="A7" s="29">
        <v>10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7" t="e">
        <f t="array" aca="1" ref="N7" ca="1">INDEX(códigos!E:E,MATCH(D7,códigos!F:F,0))</f>
        <v>#N/A</v>
      </c>
    </row>
    <row r="8" spans="1:30" ht="15.75" customHeight="1">
      <c r="A8" s="29">
        <v>10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7" t="e">
        <f t="array" aca="1" ref="N8" ca="1">INDEX(códigos!E:E,MATCH(D8,códigos!F:F,0))</f>
        <v>#N/A</v>
      </c>
    </row>
    <row r="9" spans="1:30" ht="15.75" customHeight="1">
      <c r="A9" s="29">
        <v>10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7" t="e">
        <f t="array" aca="1" ref="N9" ca="1">INDEX(códigos!E:E,MATCH(D9,códigos!F:F,0))</f>
        <v>#N/A</v>
      </c>
    </row>
    <row r="10" spans="1:30" ht="15.75" customHeight="1">
      <c r="A10" s="29">
        <v>10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  <c r="N10" s="52" t="e">
        <f t="array" aca="1" ref="N10" ca="1">INDEX(códigos!E:E,MATCH(D10,códigos!F:F,0))</f>
        <v>#N/A</v>
      </c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</row>
    <row r="11" spans="1:30" ht="15.75" customHeight="1">
      <c r="A11" s="29">
        <v>10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7" t="e">
        <f t="array" aca="1" ref="N11" ca="1">INDEX(códigos!E:E,MATCH(D11,códigos!F:F,0))</f>
        <v>#N/A</v>
      </c>
    </row>
    <row r="12" spans="1:30" ht="15.75" customHeight="1">
      <c r="A12" s="29">
        <v>10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  <c r="N12" s="7" t="e">
        <f t="array" aca="1" ref="N12" ca="1">INDEX(códigos!E:E,MATCH(D12,códigos!F:F,0))</f>
        <v>#N/A</v>
      </c>
    </row>
    <row r="13" spans="1:30" ht="15.75" customHeight="1">
      <c r="A13" s="29">
        <v>10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7" t="e">
        <f t="array" aca="1" ref="N13" ca="1">INDEX(códigos!E:E,MATCH(D13,códigos!F:F,0))</f>
        <v>#N/A</v>
      </c>
    </row>
    <row r="14" spans="1:30" ht="15.75" customHeight="1">
      <c r="A14" s="29">
        <v>10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7" t="e">
        <f t="array" aca="1" ref="N14" ca="1">INDEX(códigos!E:E,MATCH(D14,códigos!F:F,0))</f>
        <v>#N/A</v>
      </c>
    </row>
    <row r="15" spans="1:30" ht="15.75" customHeight="1">
      <c r="A15" s="29">
        <v>10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7" t="e">
        <f t="array" aca="1" ref="N15" ca="1">INDEX(códigos!E:E,MATCH(D15,códigos!F:F,0))</f>
        <v>#N/A</v>
      </c>
    </row>
    <row r="16" spans="1:30" ht="15.75" customHeight="1">
      <c r="A16" s="29">
        <v>10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  <c r="N16" s="7" t="e">
        <f t="array" aca="1" ref="N16" ca="1">INDEX(códigos!E:E,MATCH(D16,códigos!F:F,0))</f>
        <v>#N/A</v>
      </c>
    </row>
    <row r="17" spans="1:14" ht="15.75" customHeight="1">
      <c r="A17" s="29">
        <v>10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  <c r="N17" s="7" t="e">
        <f t="array" aca="1" ref="N17" ca="1">INDEX(códigos!E:E,MATCH(D17,códigos!F:F,0))</f>
        <v>#N/A</v>
      </c>
    </row>
    <row r="18" spans="1:14" ht="15.75" customHeight="1">
      <c r="A18" s="29">
        <v>10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  <c r="N18" s="7" t="e">
        <f t="array" aca="1" ref="N18" ca="1">INDEX(códigos!E:E,MATCH(D18,códigos!F:F,0))</f>
        <v>#N/A</v>
      </c>
    </row>
    <row r="19" spans="1:14" ht="15.75" customHeight="1">
      <c r="A19" s="29">
        <v>10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  <c r="N19" s="7" t="e">
        <f t="array" aca="1" ref="N19" ca="1">INDEX(códigos!E:E,MATCH(D19,códigos!F:F,0))</f>
        <v>#N/A</v>
      </c>
    </row>
    <row r="20" spans="1:14" ht="15.75" customHeight="1">
      <c r="A20" s="29">
        <v>10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  <c r="N20" s="7" t="e">
        <f t="array" aca="1" ref="N20" ca="1">INDEX(códigos!E:E,MATCH(D20,códigos!F:F,0))</f>
        <v>#N/A</v>
      </c>
    </row>
    <row r="21" spans="1:14" ht="15.75" customHeight="1">
      <c r="A21" s="29">
        <v>10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  <c r="N21" s="7" t="e">
        <f t="array" aca="1" ref="N21" ca="1">INDEX(códigos!E:E,MATCH(D21,códigos!F:F,0))</f>
        <v>#N/A</v>
      </c>
    </row>
    <row r="22" spans="1:14" ht="15.75" customHeight="1">
      <c r="A22" s="29">
        <v>10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  <c r="N22" s="7" t="e">
        <f t="array" aca="1" ref="N22" ca="1">INDEX(códigos!E:E,MATCH(D22,códigos!F:F,0))</f>
        <v>#N/A</v>
      </c>
    </row>
    <row r="23" spans="1:14" ht="15.75" customHeight="1">
      <c r="A23" s="29">
        <v>10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  <c r="N23" s="7" t="e">
        <f t="array" aca="1" ref="N23" ca="1">INDEX(códigos!E:E,MATCH(D23,códigos!F:F,0))</f>
        <v>#N/A</v>
      </c>
    </row>
    <row r="24" spans="1:14" ht="15.75" customHeight="1">
      <c r="A24" s="29">
        <v>10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7" t="e">
        <f t="array" aca="1" ref="N24" ca="1">INDEX(códigos!E:E,MATCH(D24,códigos!F:F,0))</f>
        <v>#N/A</v>
      </c>
    </row>
    <row r="25" spans="1:14" ht="15.75" customHeight="1">
      <c r="A25" s="29">
        <v>10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7" t="e">
        <f t="array" aca="1" ref="N25" ca="1">INDEX(códigos!E:E,MATCH(D25,códigos!F:F,0))</f>
        <v>#N/A</v>
      </c>
    </row>
    <row r="26" spans="1:14" ht="15.75" customHeight="1">
      <c r="A26" s="29">
        <v>10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</row>
    <row r="27" spans="1:14" ht="15.75" customHeight="1">
      <c r="A27" s="29">
        <v>10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</row>
    <row r="28" spans="1:14" ht="15.75" customHeight="1">
      <c r="A28" s="29">
        <v>10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</row>
    <row r="29" spans="1:14" ht="15.75" customHeight="1">
      <c r="A29" s="29">
        <v>10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</row>
    <row r="30" spans="1:14" ht="15.75" customHeight="1">
      <c r="A30" s="29">
        <v>10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</row>
    <row r="31" spans="1:14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14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</row>
    <row r="178" spans="1:11" ht="15.75" customHeight="1">
      <c r="A178" s="25"/>
      <c r="B178" s="25"/>
      <c r="D178" s="25"/>
      <c r="E178" s="29"/>
      <c r="F178" s="25"/>
      <c r="G178" s="25"/>
      <c r="H178" s="25"/>
      <c r="I178" s="25"/>
      <c r="J178" s="25"/>
      <c r="K178" s="25"/>
    </row>
    <row r="179" spans="1:11" ht="15.75" customHeight="1">
      <c r="A179" s="25"/>
      <c r="B179" s="25"/>
      <c r="D179" s="25"/>
      <c r="E179" s="29"/>
      <c r="F179" s="25"/>
      <c r="G179" s="25"/>
      <c r="H179" s="25"/>
      <c r="I179" s="25"/>
      <c r="J179" s="25"/>
      <c r="K179" s="25"/>
    </row>
    <row r="180" spans="1:11" ht="15.75" customHeight="1">
      <c r="A180" s="25"/>
      <c r="B180" s="25"/>
      <c r="D180" s="25"/>
      <c r="E180" s="29"/>
      <c r="F180" s="25"/>
      <c r="G180" s="25"/>
      <c r="H180" s="25"/>
      <c r="I180" s="25"/>
      <c r="J180" s="25"/>
      <c r="K180" s="25"/>
    </row>
    <row r="181" spans="1:11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</row>
    <row r="182" spans="1:11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</row>
    <row r="183" spans="1:11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</row>
    <row r="184" spans="1:11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</row>
    <row r="185" spans="1:11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</row>
    <row r="186" spans="1:11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</row>
    <row r="187" spans="1:11" ht="15.7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</row>
    <row r="188" spans="1:11" ht="15.75" customHeight="1">
      <c r="A188" s="25"/>
      <c r="B188" s="25"/>
      <c r="D188" s="25"/>
      <c r="E188" s="25"/>
      <c r="F188" s="25"/>
      <c r="G188" s="25"/>
      <c r="H188" s="25"/>
      <c r="I188" s="25"/>
      <c r="J188" s="25"/>
      <c r="K188" s="25"/>
    </row>
    <row r="189" spans="1:11" ht="15.75" customHeight="1">
      <c r="A189" s="25"/>
      <c r="B189" s="25"/>
      <c r="D189" s="25"/>
      <c r="E189" s="25"/>
      <c r="F189" s="25"/>
      <c r="G189" s="25"/>
      <c r="H189" s="25"/>
      <c r="I189" s="25"/>
      <c r="J189" s="25"/>
      <c r="K189" s="25"/>
    </row>
    <row r="190" spans="1:11" ht="15.75" customHeight="1">
      <c r="A190" s="25"/>
      <c r="B190" s="25"/>
      <c r="D190" s="25"/>
      <c r="E190" s="25"/>
      <c r="F190" s="25"/>
      <c r="G190" s="25"/>
      <c r="H190" s="25"/>
      <c r="I190" s="25"/>
      <c r="J190" s="25"/>
      <c r="K190" s="25"/>
    </row>
    <row r="191" spans="1:11" ht="15.75" customHeight="1">
      <c r="A191" s="25"/>
      <c r="B191" s="25"/>
      <c r="D191" s="25"/>
      <c r="E191" s="25"/>
      <c r="F191" s="25"/>
      <c r="G191" s="25"/>
      <c r="H191" s="25"/>
      <c r="I191" s="25"/>
      <c r="J191" s="25"/>
      <c r="K191" s="25"/>
    </row>
    <row r="192" spans="1:11" ht="15.75" customHeight="1">
      <c r="E192" s="25"/>
      <c r="F192" s="25"/>
    </row>
    <row r="193" spans="5:6" ht="15.75" customHeight="1">
      <c r="E193" s="25"/>
      <c r="F193" s="25"/>
    </row>
    <row r="194" spans="5:6" ht="15.75" customHeight="1">
      <c r="E194" s="25"/>
      <c r="F194" s="25"/>
    </row>
    <row r="195" spans="5:6" ht="15.75" customHeight="1">
      <c r="E195" s="25"/>
      <c r="F195" s="25"/>
    </row>
    <row r="196" spans="5:6" ht="15.75" customHeight="1">
      <c r="E196" s="25"/>
      <c r="F196" s="25"/>
    </row>
    <row r="197" spans="5:6" ht="15.75" customHeight="1">
      <c r="E197" s="25"/>
      <c r="F197" s="25"/>
    </row>
    <row r="198" spans="5:6" ht="15.75" customHeight="1">
      <c r="E198" s="25"/>
      <c r="F198" s="25"/>
    </row>
    <row r="199" spans="5:6" ht="15.75" customHeight="1">
      <c r="E199" s="25"/>
      <c r="F199" s="25"/>
    </row>
    <row r="200" spans="5:6" ht="15.75" customHeight="1">
      <c r="E200" s="25"/>
      <c r="F200" s="25"/>
    </row>
    <row r="201" spans="5:6" ht="15.75" customHeight="1">
      <c r="E201" s="21"/>
      <c r="F201" s="25"/>
    </row>
    <row r="202" spans="5:6" ht="15.75" customHeight="1">
      <c r="E202" s="22"/>
      <c r="F202" s="25"/>
    </row>
    <row r="203" spans="5:6" ht="15.75" customHeight="1">
      <c r="E203" s="22" t="s">
        <v>5</v>
      </c>
      <c r="F203" s="25"/>
    </row>
    <row r="204" spans="5:6" ht="15.75" customHeight="1">
      <c r="E204" s="29"/>
      <c r="F204" s="25"/>
    </row>
    <row r="205" spans="5:6" ht="15.75" customHeight="1">
      <c r="E205" s="29"/>
      <c r="F205" s="25"/>
    </row>
    <row r="206" spans="5:6" ht="15.75" customHeight="1">
      <c r="E206" s="29"/>
      <c r="F206" s="25"/>
    </row>
    <row r="207" spans="5:6" ht="15.75" customHeight="1">
      <c r="E207" s="29"/>
      <c r="F207" s="25"/>
    </row>
    <row r="208" spans="5:6" ht="15.75" customHeight="1">
      <c r="E208" s="29"/>
      <c r="F208" s="25"/>
    </row>
    <row r="209" spans="5:6" ht="15.75" customHeight="1">
      <c r="E209" s="29"/>
      <c r="F209" s="25"/>
    </row>
    <row r="210" spans="5:6" ht="15.75" customHeight="1">
      <c r="E210" s="29"/>
      <c r="F210" s="25"/>
    </row>
    <row r="211" spans="5:6" ht="15.75" customHeight="1">
      <c r="E211" s="29"/>
      <c r="F211" s="25"/>
    </row>
    <row r="212" spans="5:6" ht="15.75" customHeight="1">
      <c r="E212" s="29"/>
      <c r="F212" s="25"/>
    </row>
    <row r="213" spans="5:6" ht="15.75" customHeight="1">
      <c r="E213" s="29"/>
      <c r="F213" s="25"/>
    </row>
    <row r="214" spans="5:6" ht="15.75" customHeight="1">
      <c r="E214" s="29"/>
      <c r="F214" s="25"/>
    </row>
    <row r="215" spans="5:6" ht="15.75" customHeight="1">
      <c r="E215" s="29"/>
      <c r="F215" s="25"/>
    </row>
    <row r="216" spans="5:6" ht="15.75" customHeight="1">
      <c r="E216" s="29"/>
      <c r="F216" s="25"/>
    </row>
    <row r="217" spans="5:6" ht="15.75" customHeight="1">
      <c r="E217" s="29"/>
      <c r="F217" s="25"/>
    </row>
    <row r="218" spans="5:6" ht="15.75" customHeight="1">
      <c r="E218" s="29"/>
      <c r="F218" s="25"/>
    </row>
    <row r="219" spans="5:6" ht="15.75" customHeight="1">
      <c r="E219" s="29"/>
      <c r="F219" s="25"/>
    </row>
    <row r="220" spans="5:6" ht="15.75" customHeight="1">
      <c r="E220" s="29"/>
      <c r="F220" s="25"/>
    </row>
    <row r="221" spans="5:6" ht="15.75" customHeight="1">
      <c r="E221" s="29"/>
      <c r="F221" s="25"/>
    </row>
    <row r="222" spans="5:6" ht="15.75" customHeight="1">
      <c r="E222" s="29"/>
      <c r="F222" s="25"/>
    </row>
    <row r="223" spans="5:6" ht="15.75" customHeight="1">
      <c r="E223" s="29"/>
      <c r="F223" s="25"/>
    </row>
    <row r="224" spans="5:6" ht="15.75" customHeight="1">
      <c r="E224" s="29"/>
      <c r="F224" s="25"/>
    </row>
    <row r="225" spans="5:6" ht="15.75" customHeight="1">
      <c r="E225" s="29"/>
      <c r="F225" s="25"/>
    </row>
    <row r="226" spans="5:6" ht="15.75" customHeight="1">
      <c r="E226" s="29"/>
      <c r="F226" s="25"/>
    </row>
    <row r="227" spans="5:6" ht="15.75" customHeight="1">
      <c r="E227" s="29"/>
      <c r="F227" s="25"/>
    </row>
    <row r="228" spans="5:6" ht="15.75" customHeight="1">
      <c r="E228" s="29"/>
      <c r="F228" s="25"/>
    </row>
    <row r="229" spans="5:6" ht="15.75" customHeight="1">
      <c r="E229" s="29"/>
      <c r="F229" s="25"/>
    </row>
    <row r="230" spans="5:6" ht="15.75" customHeight="1">
      <c r="E230" s="29"/>
      <c r="F230" s="25"/>
    </row>
    <row r="231" spans="5:6" ht="15.75" customHeight="1">
      <c r="E231" s="25"/>
      <c r="F231" s="25"/>
    </row>
    <row r="232" spans="5:6" ht="15.75" customHeight="1">
      <c r="E232" s="25"/>
      <c r="F232" s="25"/>
    </row>
    <row r="233" spans="5:6" ht="15.75" customHeight="1">
      <c r="E233" s="25"/>
      <c r="F233" s="25"/>
    </row>
    <row r="234" spans="5:6" ht="15.75" customHeight="1">
      <c r="E234" s="25"/>
      <c r="F234" s="25"/>
    </row>
    <row r="235" spans="5:6" ht="15.75" customHeight="1">
      <c r="E235" s="25"/>
      <c r="F235" s="25"/>
    </row>
    <row r="236" spans="5:6" ht="15.75" customHeight="1">
      <c r="E236" s="25"/>
      <c r="F236" s="25"/>
    </row>
    <row r="237" spans="5:6" ht="15.75" customHeight="1">
      <c r="E237" s="25"/>
      <c r="F237" s="25"/>
    </row>
    <row r="238" spans="5:6" ht="15.75" customHeight="1">
      <c r="E238" s="25"/>
      <c r="F238" s="25"/>
    </row>
    <row r="239" spans="5:6" ht="15.75" customHeight="1">
      <c r="E239" s="25"/>
      <c r="F239" s="25"/>
    </row>
    <row r="240" spans="5:6" ht="15.75" customHeight="1">
      <c r="E240" s="25"/>
      <c r="F240" s="25"/>
    </row>
    <row r="241" spans="5:6" ht="15.75" customHeight="1">
      <c r="E241" s="25"/>
      <c r="F241" s="25"/>
    </row>
    <row r="242" spans="5:6" ht="15.75" customHeight="1">
      <c r="E242" s="25"/>
      <c r="F242" s="25"/>
    </row>
    <row r="243" spans="5:6" ht="15.75" customHeight="1">
      <c r="E243" s="25"/>
      <c r="F243" s="25"/>
    </row>
    <row r="244" spans="5:6" ht="15.75" customHeight="1">
      <c r="E244" s="25"/>
      <c r="F244" s="25"/>
    </row>
    <row r="245" spans="5:6" ht="15.75" customHeight="1">
      <c r="E245" s="25"/>
      <c r="F245" s="25"/>
    </row>
    <row r="246" spans="5:6" ht="15.75" customHeight="1">
      <c r="E246" s="25"/>
      <c r="F246" s="25"/>
    </row>
    <row r="247" spans="5:6" ht="15.75" customHeight="1">
      <c r="E247" s="25"/>
      <c r="F247" s="25"/>
    </row>
    <row r="248" spans="5:6" ht="15.75" customHeight="1">
      <c r="E248" s="25"/>
      <c r="F248" s="25"/>
    </row>
    <row r="249" spans="5:6" ht="15.75" customHeight="1">
      <c r="E249" s="25"/>
      <c r="F249" s="25"/>
    </row>
    <row r="250" spans="5:6" ht="15.75" customHeight="1">
      <c r="E250" s="25"/>
      <c r="F250" s="25"/>
    </row>
    <row r="251" spans="5:6" ht="15.75" customHeight="1">
      <c r="E251" s="21"/>
      <c r="F251" s="25"/>
    </row>
    <row r="252" spans="5:6" ht="15.75" customHeight="1">
      <c r="E252" s="22"/>
      <c r="F252" s="25"/>
    </row>
    <row r="253" spans="5:6" ht="15.75" customHeight="1">
      <c r="E253" s="22" t="s">
        <v>5</v>
      </c>
      <c r="F253" s="25"/>
    </row>
    <row r="254" spans="5:6" ht="15.75" customHeight="1">
      <c r="E254" s="29"/>
      <c r="F254" s="25"/>
    </row>
    <row r="255" spans="5:6" ht="15.75" customHeight="1">
      <c r="E255" s="29"/>
      <c r="F255" s="25"/>
    </row>
    <row r="256" spans="5:6" ht="15.75" customHeight="1">
      <c r="E256" s="29"/>
      <c r="F256" s="25"/>
    </row>
    <row r="257" spans="5:6" ht="15.75" customHeight="1">
      <c r="E257" s="29"/>
      <c r="F257" s="25"/>
    </row>
    <row r="258" spans="5:6" ht="15.75" customHeight="1">
      <c r="E258" s="29"/>
      <c r="F258" s="25"/>
    </row>
    <row r="259" spans="5:6" ht="15.75" customHeight="1">
      <c r="E259" s="29"/>
      <c r="F259" s="25"/>
    </row>
    <row r="260" spans="5:6" ht="15.75" customHeight="1">
      <c r="E260" s="29"/>
      <c r="F260" s="25"/>
    </row>
    <row r="261" spans="5:6" ht="15.75" customHeight="1">
      <c r="E261" s="29"/>
      <c r="F261" s="25"/>
    </row>
    <row r="262" spans="5:6" ht="15.75" customHeight="1">
      <c r="E262" s="29"/>
      <c r="F262" s="25"/>
    </row>
    <row r="263" spans="5:6" ht="15.75" customHeight="1">
      <c r="E263" s="29"/>
      <c r="F263" s="25"/>
    </row>
    <row r="264" spans="5:6" ht="15.75" customHeight="1">
      <c r="E264" s="29"/>
      <c r="F264" s="25"/>
    </row>
    <row r="265" spans="5:6" ht="15.75" customHeight="1">
      <c r="E265" s="29"/>
      <c r="F265" s="25"/>
    </row>
    <row r="266" spans="5:6" ht="15.75" customHeight="1">
      <c r="E266" s="29"/>
      <c r="F266" s="25"/>
    </row>
    <row r="267" spans="5:6" ht="15.75" customHeight="1">
      <c r="E267" s="29"/>
      <c r="F267" s="25"/>
    </row>
    <row r="268" spans="5:6" ht="15.75" customHeight="1">
      <c r="E268" s="29"/>
      <c r="F268" s="25"/>
    </row>
    <row r="269" spans="5:6" ht="15.75" customHeight="1">
      <c r="E269" s="29"/>
      <c r="F269" s="25"/>
    </row>
    <row r="270" spans="5:6" ht="15.75" customHeight="1">
      <c r="E270" s="29"/>
      <c r="F270" s="25"/>
    </row>
    <row r="271" spans="5:6" ht="15.75" customHeight="1">
      <c r="E271" s="29"/>
      <c r="F271" s="25"/>
    </row>
    <row r="272" spans="5:6" ht="15.75" customHeight="1">
      <c r="E272" s="29"/>
      <c r="F272" s="25"/>
    </row>
    <row r="273" spans="5:6" ht="15.75" customHeight="1">
      <c r="E273" s="29"/>
      <c r="F273" s="25"/>
    </row>
    <row r="274" spans="5:6" ht="15.75" customHeight="1">
      <c r="E274" s="29"/>
      <c r="F274" s="25"/>
    </row>
    <row r="275" spans="5:6" ht="15.75" customHeight="1">
      <c r="E275" s="29"/>
      <c r="F275" s="25"/>
    </row>
    <row r="276" spans="5:6" ht="15.75" customHeight="1">
      <c r="E276" s="29"/>
      <c r="F276" s="25"/>
    </row>
    <row r="277" spans="5:6" ht="15.75" customHeight="1">
      <c r="E277" s="29"/>
      <c r="F277" s="25"/>
    </row>
    <row r="278" spans="5:6" ht="15.75" customHeight="1">
      <c r="E278" s="29"/>
      <c r="F278" s="25"/>
    </row>
    <row r="279" spans="5:6" ht="15.75" customHeight="1">
      <c r="E279" s="29"/>
      <c r="F279" s="25"/>
    </row>
    <row r="280" spans="5:6" ht="15.75" customHeight="1">
      <c r="E280" s="29"/>
      <c r="F280" s="25"/>
    </row>
    <row r="281" spans="5:6" ht="15.75" customHeight="1">
      <c r="E281" s="25"/>
      <c r="F281" s="25"/>
    </row>
    <row r="282" spans="5:6" ht="15.75" customHeight="1">
      <c r="E282" s="25"/>
      <c r="F282" s="25"/>
    </row>
    <row r="283" spans="5:6" ht="15.75" customHeight="1">
      <c r="E283" s="25"/>
      <c r="F283" s="25"/>
    </row>
    <row r="284" spans="5:6" ht="15.75" customHeight="1">
      <c r="E284" s="25"/>
      <c r="F284" s="25"/>
    </row>
    <row r="285" spans="5:6" ht="15.75" customHeight="1">
      <c r="E285" s="25"/>
      <c r="F285" s="25"/>
    </row>
    <row r="286" spans="5:6" ht="15.75" customHeight="1">
      <c r="E286" s="25"/>
      <c r="F286" s="25"/>
    </row>
    <row r="287" spans="5:6" ht="15.75" customHeight="1">
      <c r="E287" s="25"/>
      <c r="F287" s="25"/>
    </row>
    <row r="288" spans="5:6" ht="15.75" customHeight="1">
      <c r="E288" s="25"/>
      <c r="F288" s="25"/>
    </row>
    <row r="289" spans="5:6" ht="15.75" customHeight="1">
      <c r="E289" s="25"/>
      <c r="F289" s="25"/>
    </row>
    <row r="290" spans="5:6" ht="15.75" customHeight="1">
      <c r="E290" s="25"/>
      <c r="F290" s="25"/>
    </row>
    <row r="291" spans="5:6" ht="15.75" customHeight="1">
      <c r="E291" s="25"/>
      <c r="F291" s="25"/>
    </row>
    <row r="292" spans="5:6" ht="15.75" customHeight="1">
      <c r="E292" s="25"/>
      <c r="F292" s="25"/>
    </row>
    <row r="293" spans="5:6" ht="15.75" customHeight="1">
      <c r="E293" s="25"/>
      <c r="F293" s="25"/>
    </row>
    <row r="294" spans="5:6" ht="15.75" customHeight="1">
      <c r="E294" s="25"/>
      <c r="F294" s="25"/>
    </row>
    <row r="295" spans="5:6" ht="15.75" customHeight="1">
      <c r="E295" s="25"/>
      <c r="F295" s="25"/>
    </row>
    <row r="296" spans="5:6" ht="15.75" customHeight="1">
      <c r="E296" s="25"/>
      <c r="F296" s="25"/>
    </row>
    <row r="297" spans="5:6" ht="15.75" customHeight="1">
      <c r="E297" s="25"/>
      <c r="F297" s="25"/>
    </row>
    <row r="298" spans="5:6" ht="15.75" customHeight="1">
      <c r="E298" s="25"/>
      <c r="F298" s="25"/>
    </row>
    <row r="299" spans="5:6" ht="15.75" customHeight="1">
      <c r="E299" s="25"/>
      <c r="F299" s="25"/>
    </row>
    <row r="300" spans="5:6" ht="15.75" customHeight="1">
      <c r="E300" s="25"/>
      <c r="F300" s="25"/>
    </row>
    <row r="301" spans="5:6" ht="15.75" customHeight="1">
      <c r="E301" s="21"/>
      <c r="F301" s="25"/>
    </row>
    <row r="302" spans="5:6" ht="15.75" customHeight="1">
      <c r="E302" s="22"/>
      <c r="F302" s="25"/>
    </row>
    <row r="303" spans="5:6" ht="15.75" customHeight="1">
      <c r="E303" s="22" t="s">
        <v>5</v>
      </c>
      <c r="F303" s="25"/>
    </row>
    <row r="304" spans="5:6" ht="15.75" customHeight="1">
      <c r="E304" s="29"/>
      <c r="F304" s="25"/>
    </row>
    <row r="305" spans="5:6" ht="15.75" customHeight="1">
      <c r="E305" s="29"/>
      <c r="F305" s="25"/>
    </row>
    <row r="306" spans="5:6" ht="15.75" customHeight="1">
      <c r="E306" s="29"/>
      <c r="F306" s="25"/>
    </row>
    <row r="307" spans="5:6" ht="15.75" customHeight="1">
      <c r="E307" s="29"/>
      <c r="F307" s="25"/>
    </row>
    <row r="308" spans="5:6" ht="15.75" customHeight="1">
      <c r="E308" s="29"/>
      <c r="F308" s="25"/>
    </row>
    <row r="309" spans="5:6" ht="15.75" customHeight="1">
      <c r="E309" s="29"/>
      <c r="F309" s="25"/>
    </row>
    <row r="310" spans="5:6" ht="15.75" customHeight="1">
      <c r="E310" s="29"/>
      <c r="F310" s="25"/>
    </row>
    <row r="311" spans="5:6" ht="15.75" customHeight="1">
      <c r="E311" s="29"/>
      <c r="F311" s="25"/>
    </row>
    <row r="312" spans="5:6" ht="15.75" customHeight="1">
      <c r="E312" s="29"/>
      <c r="F312" s="25"/>
    </row>
    <row r="313" spans="5:6" ht="15.75" customHeight="1">
      <c r="E313" s="29"/>
      <c r="F313" s="25"/>
    </row>
    <row r="314" spans="5:6" ht="15.75" customHeight="1">
      <c r="E314" s="29"/>
      <c r="F314" s="25"/>
    </row>
    <row r="315" spans="5:6" ht="15.75" customHeight="1">
      <c r="E315" s="29"/>
      <c r="F315" s="25"/>
    </row>
    <row r="316" spans="5:6" ht="15.75" customHeight="1">
      <c r="E316" s="29"/>
      <c r="F316" s="25"/>
    </row>
    <row r="317" spans="5:6" ht="15.75" customHeight="1">
      <c r="E317" s="29"/>
      <c r="F317" s="25"/>
    </row>
    <row r="318" spans="5:6" ht="15.75" customHeight="1">
      <c r="E318" s="29"/>
      <c r="F318" s="25"/>
    </row>
    <row r="319" spans="5:6" ht="15.75" customHeight="1">
      <c r="E319" s="29"/>
      <c r="F319" s="25"/>
    </row>
    <row r="320" spans="5:6" ht="15.75" customHeight="1">
      <c r="E320" s="29"/>
      <c r="F320" s="25"/>
    </row>
    <row r="321" spans="5:6" ht="15.75" customHeight="1">
      <c r="E321" s="29"/>
      <c r="F321" s="25"/>
    </row>
    <row r="322" spans="5:6" ht="15.75" customHeight="1">
      <c r="E322" s="29"/>
      <c r="F322" s="25"/>
    </row>
    <row r="323" spans="5:6" ht="15.75" customHeight="1">
      <c r="E323" s="29"/>
      <c r="F323" s="25"/>
    </row>
    <row r="324" spans="5:6" ht="15.75" customHeight="1">
      <c r="E324" s="29"/>
      <c r="F324" s="25"/>
    </row>
    <row r="325" spans="5:6" ht="15.75" customHeight="1">
      <c r="E325" s="29"/>
      <c r="F325" s="25"/>
    </row>
    <row r="326" spans="5:6" ht="15.75" customHeight="1">
      <c r="E326" s="29"/>
      <c r="F326" s="25"/>
    </row>
    <row r="327" spans="5:6" ht="15.75" customHeight="1">
      <c r="E327" s="29"/>
      <c r="F327" s="25"/>
    </row>
    <row r="328" spans="5:6" ht="15.75" customHeight="1">
      <c r="E328" s="29"/>
      <c r="F328" s="25"/>
    </row>
    <row r="329" spans="5:6" ht="15.75" customHeight="1">
      <c r="E329" s="29"/>
      <c r="F329" s="25"/>
    </row>
    <row r="330" spans="5:6" ht="15.75" customHeight="1">
      <c r="E330" s="29"/>
      <c r="F330" s="25"/>
    </row>
    <row r="331" spans="5:6" ht="15.75" customHeight="1">
      <c r="E331" s="25"/>
      <c r="F331" s="25"/>
    </row>
    <row r="332" spans="5:6" ht="15.75" customHeight="1">
      <c r="E332" s="25"/>
      <c r="F332" s="25"/>
    </row>
    <row r="333" spans="5:6" ht="15.75" customHeight="1">
      <c r="E333" s="25"/>
      <c r="F333" s="25"/>
    </row>
    <row r="334" spans="5:6" ht="15.75" customHeight="1">
      <c r="E334" s="25"/>
      <c r="F334" s="25"/>
    </row>
    <row r="335" spans="5:6" ht="15.75" customHeight="1">
      <c r="E335" s="25"/>
      <c r="F335" s="25"/>
    </row>
    <row r="336" spans="5:6" ht="15.75" customHeight="1">
      <c r="E336" s="25"/>
      <c r="F336" s="25"/>
    </row>
    <row r="337" spans="5:6" ht="15.75" customHeight="1">
      <c r="E337" s="25"/>
      <c r="F337" s="25"/>
    </row>
    <row r="338" spans="5:6" ht="15.75" customHeight="1">
      <c r="E338" s="25"/>
      <c r="F338" s="25"/>
    </row>
    <row r="339" spans="5:6" ht="15.75" customHeight="1">
      <c r="E339" s="25"/>
      <c r="F339" s="25"/>
    </row>
    <row r="340" spans="5:6" ht="15.75" customHeight="1">
      <c r="E340" s="25"/>
      <c r="F340" s="25"/>
    </row>
    <row r="341" spans="5:6" ht="15.75" customHeight="1">
      <c r="E341" s="25"/>
      <c r="F341" s="25"/>
    </row>
    <row r="342" spans="5:6" ht="15.75" customHeight="1">
      <c r="E342" s="25"/>
      <c r="F342" s="25"/>
    </row>
    <row r="343" spans="5:6" ht="15.75" customHeight="1">
      <c r="E343" s="25"/>
      <c r="F343" s="25"/>
    </row>
    <row r="344" spans="5:6" ht="15.75" customHeight="1">
      <c r="E344" s="25"/>
      <c r="F344" s="25"/>
    </row>
    <row r="345" spans="5:6" ht="15.75" customHeight="1">
      <c r="E345" s="25"/>
      <c r="F345" s="25"/>
    </row>
    <row r="346" spans="5:6" ht="15.75" customHeight="1">
      <c r="E346" s="25"/>
      <c r="F346" s="25"/>
    </row>
    <row r="347" spans="5:6" ht="15.75" customHeight="1">
      <c r="E347" s="25"/>
      <c r="F347" s="25"/>
    </row>
    <row r="348" spans="5:6" ht="15.75" customHeight="1">
      <c r="E348" s="25"/>
      <c r="F348" s="25"/>
    </row>
    <row r="349" spans="5:6" ht="15.75" customHeight="1">
      <c r="E349" s="25"/>
      <c r="F349" s="25"/>
    </row>
    <row r="350" spans="5:6" ht="15.75" customHeight="1">
      <c r="E350" s="25"/>
      <c r="F350" s="25"/>
    </row>
    <row r="351" spans="5:6" ht="15.75" customHeight="1">
      <c r="E351" s="21"/>
      <c r="F351" s="25"/>
    </row>
    <row r="352" spans="5:6" ht="15.75" customHeight="1">
      <c r="E352" s="22"/>
      <c r="F352" s="25"/>
    </row>
    <row r="353" spans="5:6" ht="15.75" customHeight="1">
      <c r="E353" s="22" t="s">
        <v>5</v>
      </c>
      <c r="F353" s="25"/>
    </row>
    <row r="354" spans="5:6" ht="15.75" customHeight="1">
      <c r="E354" s="29"/>
      <c r="F354" s="25"/>
    </row>
    <row r="355" spans="5:6" ht="15.75" customHeight="1">
      <c r="E355" s="29"/>
      <c r="F355" s="25"/>
    </row>
    <row r="356" spans="5:6" ht="15.75" customHeight="1">
      <c r="E356" s="29"/>
      <c r="F356" s="25"/>
    </row>
    <row r="357" spans="5:6" ht="15.75" customHeight="1">
      <c r="E357" s="29"/>
      <c r="F357" s="25"/>
    </row>
    <row r="358" spans="5:6" ht="15.75" customHeight="1">
      <c r="E358" s="29"/>
      <c r="F358" s="25"/>
    </row>
    <row r="359" spans="5:6" ht="15.75" customHeight="1">
      <c r="E359" s="29"/>
      <c r="F359" s="25"/>
    </row>
    <row r="360" spans="5:6" ht="15.75" customHeight="1">
      <c r="E360" s="29"/>
      <c r="F360" s="25"/>
    </row>
    <row r="361" spans="5:6" ht="15.75" customHeight="1">
      <c r="E361" s="29"/>
      <c r="F361" s="25"/>
    </row>
    <row r="362" spans="5:6" ht="15.75" customHeight="1">
      <c r="E362" s="29"/>
      <c r="F362" s="25"/>
    </row>
    <row r="363" spans="5:6" ht="15.75" customHeight="1">
      <c r="E363" s="29"/>
      <c r="F363" s="25"/>
    </row>
    <row r="364" spans="5:6" ht="15.75" customHeight="1">
      <c r="E364" s="29"/>
      <c r="F364" s="25"/>
    </row>
    <row r="365" spans="5:6" ht="15.75" customHeight="1">
      <c r="E365" s="29"/>
      <c r="F365" s="25"/>
    </row>
    <row r="366" spans="5:6" ht="15.75" customHeight="1">
      <c r="E366" s="29"/>
      <c r="F366" s="25"/>
    </row>
    <row r="367" spans="5:6" ht="15.75" customHeight="1">
      <c r="E367" s="29"/>
      <c r="F367" s="25"/>
    </row>
    <row r="368" spans="5:6" ht="15.75" customHeight="1">
      <c r="E368" s="29"/>
      <c r="F368" s="25"/>
    </row>
    <row r="369" spans="5:6" ht="15.75" customHeight="1">
      <c r="E369" s="29"/>
      <c r="F369" s="25"/>
    </row>
    <row r="370" spans="5:6" ht="15.75" customHeight="1">
      <c r="E370" s="29"/>
      <c r="F370" s="25"/>
    </row>
    <row r="371" spans="5:6" ht="15.75" customHeight="1">
      <c r="E371" s="29"/>
      <c r="F371" s="25"/>
    </row>
    <row r="372" spans="5:6" ht="15.75" customHeight="1">
      <c r="E372" s="29"/>
      <c r="F372" s="25"/>
    </row>
    <row r="373" spans="5:6" ht="15.75" customHeight="1">
      <c r="E373" s="29"/>
      <c r="F373" s="25"/>
    </row>
    <row r="374" spans="5:6" ht="15.75" customHeight="1">
      <c r="E374" s="29"/>
      <c r="F374" s="25"/>
    </row>
    <row r="375" spans="5:6" ht="15.75" customHeight="1">
      <c r="E375" s="29"/>
      <c r="F375" s="25"/>
    </row>
    <row r="376" spans="5:6" ht="15.75" customHeight="1">
      <c r="E376" s="29"/>
      <c r="F376" s="25"/>
    </row>
    <row r="377" spans="5:6" ht="15.75" customHeight="1">
      <c r="E377" s="29"/>
      <c r="F377" s="25"/>
    </row>
    <row r="378" spans="5:6" ht="15.75" customHeight="1">
      <c r="E378" s="29"/>
      <c r="F378" s="25"/>
    </row>
    <row r="379" spans="5:6" ht="15.75" customHeight="1">
      <c r="E379" s="29"/>
      <c r="F379" s="25"/>
    </row>
    <row r="380" spans="5:6" ht="15.75" customHeight="1">
      <c r="E380" s="29"/>
      <c r="F380" s="25"/>
    </row>
    <row r="381" spans="5:6" ht="15.75" customHeight="1">
      <c r="E381" s="25"/>
      <c r="F381" s="25"/>
    </row>
    <row r="382" spans="5:6" ht="15.75" customHeight="1">
      <c r="E382" s="25"/>
      <c r="F382" s="25"/>
    </row>
    <row r="383" spans="5:6" ht="15.75" customHeight="1">
      <c r="E383" s="25"/>
      <c r="F383" s="25"/>
    </row>
    <row r="384" spans="5:6" ht="15.75" customHeight="1">
      <c r="E384" s="25"/>
      <c r="F384" s="25"/>
    </row>
    <row r="385" spans="5:6" ht="15.75" customHeight="1">
      <c r="E385" s="25"/>
      <c r="F385" s="25"/>
    </row>
    <row r="386" spans="5:6" ht="15.75" customHeight="1">
      <c r="E386" s="25"/>
      <c r="F386" s="25"/>
    </row>
    <row r="387" spans="5:6" ht="15.75" customHeight="1">
      <c r="E387" s="25"/>
      <c r="F387" s="25"/>
    </row>
    <row r="388" spans="5:6" ht="15.75" customHeight="1">
      <c r="E388" s="25"/>
      <c r="F388" s="25"/>
    </row>
    <row r="389" spans="5:6" ht="15.75" customHeight="1">
      <c r="E389" s="25"/>
      <c r="F389" s="25"/>
    </row>
    <row r="390" spans="5:6" ht="15.75" customHeight="1">
      <c r="E390" s="25"/>
      <c r="F390" s="25"/>
    </row>
    <row r="391" spans="5:6" ht="15.75" customHeight="1">
      <c r="E391" s="25"/>
      <c r="F391" s="25"/>
    </row>
    <row r="392" spans="5:6" ht="15.75" customHeight="1">
      <c r="E392" s="25"/>
      <c r="F392" s="25"/>
    </row>
    <row r="393" spans="5:6" ht="15.75" customHeight="1">
      <c r="E393" s="25"/>
      <c r="F393" s="25"/>
    </row>
    <row r="394" spans="5:6" ht="15.75" customHeight="1">
      <c r="E394" s="25"/>
      <c r="F394" s="25"/>
    </row>
    <row r="395" spans="5:6" ht="15.75" customHeight="1">
      <c r="E395" s="25"/>
      <c r="F395" s="25"/>
    </row>
    <row r="396" spans="5:6" ht="15.75" customHeight="1">
      <c r="E396" s="25"/>
      <c r="F396" s="25"/>
    </row>
    <row r="397" spans="5:6" ht="15.75" customHeight="1">
      <c r="E397" s="25"/>
      <c r="F397" s="25"/>
    </row>
    <row r="398" spans="5:6" ht="15.75" customHeight="1">
      <c r="E398" s="25"/>
      <c r="F398" s="25"/>
    </row>
    <row r="399" spans="5:6" ht="15.75" customHeight="1">
      <c r="E399" s="25"/>
      <c r="F399" s="25"/>
    </row>
    <row r="400" spans="5:6" ht="15.75" customHeight="1">
      <c r="E400" s="25"/>
      <c r="F400" s="25"/>
    </row>
    <row r="401" spans="5:6" ht="15.75" customHeight="1">
      <c r="E401" s="21"/>
      <c r="F401" s="25"/>
    </row>
    <row r="402" spans="5:6" ht="15.75" customHeight="1">
      <c r="E402" s="22"/>
      <c r="F402" s="25"/>
    </row>
    <row r="403" spans="5:6" ht="15.75" customHeight="1">
      <c r="E403" s="22" t="s">
        <v>5</v>
      </c>
      <c r="F403" s="25"/>
    </row>
    <row r="404" spans="5:6" ht="15.75" customHeight="1">
      <c r="E404" s="29"/>
      <c r="F404" s="25"/>
    </row>
    <row r="405" spans="5:6" ht="15.75" customHeight="1">
      <c r="E405" s="29"/>
      <c r="F405" s="25"/>
    </row>
    <row r="406" spans="5:6" ht="15.75" customHeight="1">
      <c r="E406" s="29"/>
      <c r="F406" s="25"/>
    </row>
    <row r="407" spans="5:6" ht="15.75" customHeight="1">
      <c r="E407" s="29"/>
      <c r="F407" s="25"/>
    </row>
    <row r="408" spans="5:6" ht="15.75" customHeight="1">
      <c r="E408" s="29"/>
      <c r="F408" s="25"/>
    </row>
    <row r="409" spans="5:6" ht="15.75" customHeight="1">
      <c r="E409" s="29"/>
      <c r="F409" s="25"/>
    </row>
    <row r="410" spans="5:6" ht="15.75" customHeight="1">
      <c r="E410" s="29"/>
      <c r="F410" s="25"/>
    </row>
    <row r="411" spans="5:6" ht="15.75" customHeight="1">
      <c r="E411" s="29"/>
      <c r="F411" s="25"/>
    </row>
    <row r="412" spans="5:6" ht="15.75" customHeight="1">
      <c r="E412" s="29"/>
      <c r="F412" s="25"/>
    </row>
    <row r="413" spans="5:6" ht="15.75" customHeight="1">
      <c r="E413" s="29"/>
      <c r="F413" s="25"/>
    </row>
    <row r="414" spans="5:6" ht="15.75" customHeight="1">
      <c r="E414" s="29"/>
      <c r="F414" s="25"/>
    </row>
    <row r="415" spans="5:6" ht="15.75" customHeight="1">
      <c r="E415" s="29"/>
      <c r="F415" s="25"/>
    </row>
    <row r="416" spans="5:6" ht="15.75" customHeight="1">
      <c r="E416" s="29"/>
      <c r="F416" s="25"/>
    </row>
    <row r="417" spans="5:6" ht="15.75" customHeight="1">
      <c r="E417" s="29"/>
      <c r="F417" s="25"/>
    </row>
    <row r="418" spans="5:6" ht="15.75" customHeight="1">
      <c r="E418" s="29"/>
      <c r="F418" s="25"/>
    </row>
    <row r="419" spans="5:6" ht="15.75" customHeight="1">
      <c r="E419" s="29"/>
      <c r="F419" s="25"/>
    </row>
    <row r="420" spans="5:6" ht="15.75" customHeight="1">
      <c r="E420" s="29"/>
      <c r="F420" s="25"/>
    </row>
    <row r="421" spans="5:6" ht="15.75" customHeight="1">
      <c r="E421" s="29"/>
      <c r="F421" s="25"/>
    </row>
    <row r="422" spans="5:6" ht="15.75" customHeight="1">
      <c r="E422" s="29"/>
      <c r="F422" s="25"/>
    </row>
    <row r="423" spans="5:6" ht="15.75" customHeight="1">
      <c r="E423" s="29"/>
      <c r="F423" s="25"/>
    </row>
    <row r="424" spans="5:6" ht="15.75" customHeight="1">
      <c r="E424" s="29"/>
      <c r="F424" s="25"/>
    </row>
    <row r="425" spans="5:6" ht="15.75" customHeight="1">
      <c r="E425" s="29"/>
      <c r="F425" s="25"/>
    </row>
    <row r="426" spans="5:6" ht="15.75" customHeight="1">
      <c r="E426" s="29"/>
      <c r="F426" s="25"/>
    </row>
    <row r="427" spans="5:6" ht="15.75" customHeight="1">
      <c r="E427" s="29"/>
      <c r="F427" s="25"/>
    </row>
    <row r="428" spans="5:6" ht="15.75" customHeight="1">
      <c r="E428" s="29"/>
      <c r="F428" s="25"/>
    </row>
    <row r="429" spans="5:6" ht="15.75" customHeight="1">
      <c r="E429" s="29"/>
      <c r="F429" s="25"/>
    </row>
    <row r="430" spans="5:6" ht="15.75" customHeight="1">
      <c r="E430" s="29"/>
      <c r="F430" s="25"/>
    </row>
    <row r="431" spans="5:6" ht="15.75" customHeight="1">
      <c r="E431" s="25"/>
      <c r="F431" s="25"/>
    </row>
    <row r="432" spans="5:6" ht="15.75" customHeight="1">
      <c r="E432" s="25"/>
      <c r="F432" s="25"/>
    </row>
    <row r="433" spans="5:6" ht="15.75" customHeight="1">
      <c r="E433" s="25"/>
      <c r="F433" s="25"/>
    </row>
    <row r="434" spans="5:6" ht="15.75" customHeight="1">
      <c r="E434" s="25"/>
      <c r="F434" s="25"/>
    </row>
    <row r="435" spans="5:6" ht="15.75" customHeight="1">
      <c r="E435" s="25"/>
      <c r="F435" s="25"/>
    </row>
    <row r="436" spans="5:6" ht="15.75" customHeight="1">
      <c r="E436" s="25"/>
      <c r="F436" s="25"/>
    </row>
    <row r="437" spans="5:6" ht="15.75" customHeight="1">
      <c r="E437" s="25"/>
      <c r="F437" s="25"/>
    </row>
    <row r="438" spans="5:6" ht="15.75" customHeight="1">
      <c r="E438" s="25"/>
      <c r="F438" s="25"/>
    </row>
    <row r="439" spans="5:6" ht="15.75" customHeight="1">
      <c r="E439" s="25"/>
      <c r="F439" s="25"/>
    </row>
    <row r="440" spans="5:6" ht="15.75" customHeight="1">
      <c r="E440" s="25"/>
      <c r="F440" s="25"/>
    </row>
    <row r="441" spans="5:6" ht="15.75" customHeight="1">
      <c r="E441" s="25"/>
      <c r="F441" s="25"/>
    </row>
    <row r="442" spans="5:6" ht="15.75" customHeight="1">
      <c r="E442" s="25"/>
      <c r="F442" s="25"/>
    </row>
    <row r="443" spans="5:6" ht="15.75" customHeight="1">
      <c r="E443" s="25"/>
      <c r="F443" s="25"/>
    </row>
    <row r="444" spans="5:6" ht="15.75" customHeight="1">
      <c r="E444" s="25"/>
      <c r="F444" s="25"/>
    </row>
    <row r="445" spans="5:6" ht="15.75" customHeight="1">
      <c r="E445" s="25"/>
      <c r="F445" s="25"/>
    </row>
    <row r="446" spans="5:6" ht="15.75" customHeight="1">
      <c r="E446" s="25"/>
      <c r="F446" s="25"/>
    </row>
    <row r="447" spans="5:6" ht="15.75" customHeight="1">
      <c r="E447" s="25"/>
      <c r="F447" s="25"/>
    </row>
    <row r="448" spans="5:6" ht="15.75" customHeight="1">
      <c r="E448" s="25"/>
      <c r="F448" s="25"/>
    </row>
    <row r="449" spans="5:6" ht="15.75" customHeight="1">
      <c r="E449" s="25"/>
      <c r="F449" s="25"/>
    </row>
    <row r="450" spans="5:6" ht="15.75" customHeight="1">
      <c r="E450" s="25"/>
      <c r="F450" s="25"/>
    </row>
    <row r="451" spans="5:6" ht="15.75" customHeight="1">
      <c r="E451" s="21"/>
      <c r="F451" s="25"/>
    </row>
    <row r="452" spans="5:6" ht="15.75" customHeight="1">
      <c r="E452" s="22"/>
      <c r="F452" s="25"/>
    </row>
    <row r="453" spans="5:6" ht="15.75" customHeight="1">
      <c r="E453" s="22" t="s">
        <v>5</v>
      </c>
      <c r="F453" s="25"/>
    </row>
    <row r="454" spans="5:6" ht="15.75" customHeight="1">
      <c r="E454" s="29"/>
      <c r="F454" s="25"/>
    </row>
    <row r="455" spans="5:6" ht="15.75" customHeight="1">
      <c r="E455" s="29"/>
      <c r="F455" s="25"/>
    </row>
    <row r="456" spans="5:6" ht="15.75" customHeight="1">
      <c r="E456" s="29"/>
      <c r="F456" s="25"/>
    </row>
    <row r="457" spans="5:6" ht="15.75" customHeight="1">
      <c r="E457" s="29"/>
      <c r="F457" s="25"/>
    </row>
    <row r="458" spans="5:6" ht="15.75" customHeight="1">
      <c r="E458" s="29"/>
      <c r="F458" s="25"/>
    </row>
    <row r="459" spans="5:6" ht="15.75" customHeight="1">
      <c r="E459" s="29"/>
      <c r="F459" s="25"/>
    </row>
    <row r="460" spans="5:6" ht="15.75" customHeight="1">
      <c r="E460" s="29"/>
      <c r="F460" s="25"/>
    </row>
    <row r="461" spans="5:6" ht="15.75" customHeight="1">
      <c r="E461" s="29"/>
      <c r="F461" s="25"/>
    </row>
    <row r="462" spans="5:6" ht="15.75" customHeight="1">
      <c r="E462" s="29"/>
      <c r="F462" s="25"/>
    </row>
    <row r="463" spans="5:6" ht="15.75" customHeight="1">
      <c r="E463" s="29"/>
      <c r="F463" s="25"/>
    </row>
    <row r="464" spans="5:6" ht="15.75" customHeight="1">
      <c r="E464" s="29"/>
      <c r="F464" s="25"/>
    </row>
    <row r="465" spans="5:6" ht="15.75" customHeight="1">
      <c r="E465" s="29"/>
      <c r="F465" s="25"/>
    </row>
    <row r="466" spans="5:6" ht="15.75" customHeight="1">
      <c r="E466" s="29"/>
      <c r="F466" s="25"/>
    </row>
    <row r="467" spans="5:6" ht="15.75" customHeight="1">
      <c r="E467" s="29"/>
      <c r="F467" s="25"/>
    </row>
    <row r="468" spans="5:6" ht="15.75" customHeight="1">
      <c r="E468" s="29"/>
      <c r="F468" s="25"/>
    </row>
    <row r="469" spans="5:6" ht="15.75" customHeight="1">
      <c r="E469" s="29"/>
      <c r="F469" s="25"/>
    </row>
    <row r="470" spans="5:6" ht="15.75" customHeight="1">
      <c r="E470" s="29"/>
      <c r="F470" s="25"/>
    </row>
    <row r="471" spans="5:6" ht="15.75" customHeight="1">
      <c r="E471" s="29"/>
      <c r="F471" s="25"/>
    </row>
    <row r="472" spans="5:6" ht="15.75" customHeight="1">
      <c r="E472" s="29"/>
      <c r="F472" s="25"/>
    </row>
    <row r="473" spans="5:6" ht="15.75" customHeight="1">
      <c r="E473" s="29"/>
      <c r="F473" s="25"/>
    </row>
    <row r="474" spans="5:6" ht="15.75" customHeight="1">
      <c r="E474" s="29"/>
      <c r="F474" s="25"/>
    </row>
    <row r="475" spans="5:6" ht="15.75" customHeight="1">
      <c r="E475" s="29"/>
      <c r="F475" s="25"/>
    </row>
    <row r="476" spans="5:6" ht="15.75" customHeight="1">
      <c r="E476" s="29"/>
      <c r="F476" s="25"/>
    </row>
    <row r="477" spans="5:6" ht="15.75" customHeight="1">
      <c r="E477" s="29"/>
      <c r="F477" s="25"/>
    </row>
    <row r="478" spans="5:6" ht="15.75" customHeight="1">
      <c r="E478" s="29"/>
      <c r="F478" s="25"/>
    </row>
    <row r="479" spans="5:6" ht="15.75" customHeight="1">
      <c r="E479" s="29"/>
      <c r="F479" s="25"/>
    </row>
    <row r="480" spans="5:6" ht="15.75" customHeight="1">
      <c r="E480" s="29"/>
      <c r="F480" s="25"/>
    </row>
    <row r="481" spans="5:6" ht="15.75" customHeight="1">
      <c r="E481" s="25"/>
      <c r="F481" s="25"/>
    </row>
    <row r="482" spans="5:6" ht="15.75" customHeight="1">
      <c r="E482" s="25"/>
      <c r="F482" s="25"/>
    </row>
    <row r="483" spans="5:6" ht="15.75" customHeight="1">
      <c r="E483" s="25"/>
      <c r="F483" s="25"/>
    </row>
    <row r="484" spans="5:6" ht="15.75" customHeight="1">
      <c r="E484" s="25"/>
      <c r="F484" s="25"/>
    </row>
    <row r="485" spans="5:6" ht="15.75" customHeight="1">
      <c r="E485" s="25"/>
      <c r="F485" s="25"/>
    </row>
    <row r="486" spans="5:6" ht="15.75" customHeight="1">
      <c r="E486" s="25"/>
      <c r="F486" s="25"/>
    </row>
    <row r="487" spans="5:6" ht="15.75" customHeight="1">
      <c r="E487" s="25"/>
      <c r="F487" s="25"/>
    </row>
    <row r="488" spans="5:6" ht="15.75" customHeight="1">
      <c r="E488" s="25"/>
      <c r="F488" s="25"/>
    </row>
    <row r="489" spans="5:6" ht="15.75" customHeight="1">
      <c r="E489" s="25"/>
      <c r="F489" s="25"/>
    </row>
    <row r="490" spans="5:6" ht="15.75" customHeight="1">
      <c r="E490" s="25"/>
      <c r="F490" s="25"/>
    </row>
    <row r="491" spans="5:6" ht="15.75" customHeight="1">
      <c r="E491" s="25"/>
      <c r="F491" s="25"/>
    </row>
    <row r="492" spans="5:6" ht="15.75" customHeight="1">
      <c r="E492" s="25"/>
      <c r="F492" s="25"/>
    </row>
    <row r="493" spans="5:6" ht="15.75" customHeight="1">
      <c r="E493" s="25"/>
      <c r="F493" s="25"/>
    </row>
    <row r="494" spans="5:6" ht="15.75" customHeight="1">
      <c r="E494" s="25"/>
      <c r="F494" s="25"/>
    </row>
    <row r="495" spans="5:6" ht="15.75" customHeight="1">
      <c r="E495" s="25"/>
      <c r="F495" s="25"/>
    </row>
    <row r="496" spans="5:6" ht="15.75" customHeight="1">
      <c r="E496" s="25"/>
      <c r="F496" s="25"/>
    </row>
    <row r="497" spans="5:6" ht="15.75" customHeight="1">
      <c r="E497" s="25"/>
      <c r="F497" s="25"/>
    </row>
    <row r="498" spans="5:6" ht="15.75" customHeight="1">
      <c r="E498" s="25"/>
      <c r="F498" s="25"/>
    </row>
    <row r="499" spans="5:6" ht="15.75" customHeight="1">
      <c r="E499" s="25"/>
      <c r="F499" s="25"/>
    </row>
    <row r="500" spans="5:6" ht="15.75" customHeight="1">
      <c r="E500" s="25"/>
      <c r="F500" s="25"/>
    </row>
    <row r="501" spans="5:6" ht="15.75" customHeight="1">
      <c r="E501" s="21"/>
      <c r="F501" s="25"/>
    </row>
    <row r="502" spans="5:6" ht="15.75" customHeight="1">
      <c r="E502" s="22"/>
      <c r="F502" s="25"/>
    </row>
    <row r="503" spans="5:6" ht="15.75" customHeight="1">
      <c r="E503" s="22" t="s">
        <v>5</v>
      </c>
      <c r="F503" s="25"/>
    </row>
    <row r="504" spans="5:6" ht="15.75" customHeight="1">
      <c r="E504" s="29"/>
      <c r="F504" s="25"/>
    </row>
    <row r="505" spans="5:6" ht="15.75" customHeight="1">
      <c r="E505" s="29"/>
      <c r="F505" s="25"/>
    </row>
    <row r="506" spans="5:6" ht="15.75" customHeight="1">
      <c r="E506" s="29"/>
      <c r="F506" s="25"/>
    </row>
    <row r="507" spans="5:6" ht="15.75" customHeight="1">
      <c r="E507" s="29"/>
      <c r="F507" s="25"/>
    </row>
    <row r="508" spans="5:6" ht="15.75" customHeight="1">
      <c r="E508" s="29"/>
      <c r="F508" s="25"/>
    </row>
    <row r="509" spans="5:6" ht="15.75" customHeight="1">
      <c r="E509" s="29"/>
      <c r="F509" s="25"/>
    </row>
    <row r="510" spans="5:6" ht="15.75" customHeight="1">
      <c r="E510" s="29"/>
      <c r="F510" s="25"/>
    </row>
    <row r="511" spans="5:6" ht="15.75" customHeight="1">
      <c r="E511" s="29"/>
      <c r="F511" s="25"/>
    </row>
    <row r="512" spans="5:6" ht="15.75" customHeight="1">
      <c r="E512" s="29"/>
      <c r="F512" s="25"/>
    </row>
    <row r="513" spans="5:6" ht="15.75" customHeight="1">
      <c r="E513" s="29"/>
      <c r="F513" s="25"/>
    </row>
    <row r="514" spans="5:6" ht="15.75" customHeight="1">
      <c r="E514" s="29"/>
      <c r="F514" s="25"/>
    </row>
    <row r="515" spans="5:6" ht="15.75" customHeight="1">
      <c r="E515" s="29"/>
      <c r="F515" s="25"/>
    </row>
    <row r="516" spans="5:6" ht="15.75" customHeight="1">
      <c r="E516" s="29"/>
      <c r="F516" s="25"/>
    </row>
    <row r="517" spans="5:6" ht="15.75" customHeight="1">
      <c r="E517" s="29"/>
      <c r="F517" s="25"/>
    </row>
    <row r="518" spans="5:6" ht="15.75" customHeight="1">
      <c r="E518" s="29"/>
      <c r="F518" s="25"/>
    </row>
    <row r="519" spans="5:6" ht="15.75" customHeight="1">
      <c r="E519" s="29"/>
      <c r="F519" s="25"/>
    </row>
    <row r="520" spans="5:6" ht="15.75" customHeight="1">
      <c r="E520" s="29"/>
      <c r="F520" s="25"/>
    </row>
    <row r="521" spans="5:6" ht="15.75" customHeight="1">
      <c r="E521" s="29"/>
      <c r="F521" s="25"/>
    </row>
    <row r="522" spans="5:6" ht="15.75" customHeight="1">
      <c r="E522" s="29"/>
      <c r="F522" s="25"/>
    </row>
    <row r="523" spans="5:6" ht="15.75" customHeight="1">
      <c r="E523" s="29"/>
      <c r="F523" s="25"/>
    </row>
    <row r="524" spans="5:6" ht="15.75" customHeight="1">
      <c r="E524" s="29"/>
      <c r="F524" s="25"/>
    </row>
    <row r="525" spans="5:6" ht="15.75" customHeight="1">
      <c r="E525" s="29"/>
      <c r="F525" s="25"/>
    </row>
    <row r="526" spans="5:6" ht="15.75" customHeight="1">
      <c r="E526" s="29"/>
      <c r="F526" s="25"/>
    </row>
    <row r="527" spans="5:6" ht="15.75" customHeight="1">
      <c r="E527" s="29"/>
      <c r="F527" s="25"/>
    </row>
    <row r="528" spans="5:6" ht="15.75" customHeight="1">
      <c r="E528" s="29"/>
      <c r="F528" s="25"/>
    </row>
    <row r="529" spans="5:6" ht="15.75" customHeight="1">
      <c r="E529" s="29"/>
      <c r="F529" s="25"/>
    </row>
    <row r="530" spans="5:6" ht="15.75" customHeight="1">
      <c r="E530" s="29"/>
      <c r="F530" s="25"/>
    </row>
    <row r="531" spans="5:6" ht="15.75" customHeight="1">
      <c r="E531" s="25"/>
      <c r="F531" s="25"/>
    </row>
    <row r="532" spans="5:6" ht="15.75" customHeight="1">
      <c r="E532" s="25"/>
      <c r="F532" s="25"/>
    </row>
    <row r="533" spans="5:6" ht="15.75" customHeight="1">
      <c r="E533" s="25"/>
      <c r="F533" s="25"/>
    </row>
    <row r="534" spans="5:6" ht="15.75" customHeight="1">
      <c r="E534" s="25"/>
      <c r="F534" s="25"/>
    </row>
    <row r="535" spans="5:6" ht="15.75" customHeight="1">
      <c r="E535" s="25"/>
      <c r="F535" s="25"/>
    </row>
    <row r="536" spans="5:6" ht="15.75" customHeight="1">
      <c r="E536" s="25"/>
      <c r="F536" s="25"/>
    </row>
    <row r="537" spans="5:6" ht="15.75" customHeight="1">
      <c r="E537" s="25"/>
      <c r="F537" s="25"/>
    </row>
    <row r="538" spans="5:6" ht="15.75" customHeight="1">
      <c r="E538" s="25"/>
      <c r="F538" s="25"/>
    </row>
    <row r="539" spans="5:6" ht="15.75" customHeight="1">
      <c r="E539" s="25"/>
      <c r="F539" s="25"/>
    </row>
    <row r="540" spans="5:6" ht="15.75" customHeight="1">
      <c r="E540" s="25"/>
      <c r="F540" s="25"/>
    </row>
    <row r="541" spans="5:6" ht="15.75" customHeight="1">
      <c r="E541" s="25"/>
      <c r="F541" s="25"/>
    </row>
    <row r="542" spans="5:6" ht="15.75" customHeight="1">
      <c r="E542" s="25"/>
      <c r="F542" s="25"/>
    </row>
    <row r="543" spans="5:6" ht="15.75" customHeight="1">
      <c r="E543" s="25"/>
      <c r="F543" s="25"/>
    </row>
    <row r="544" spans="5:6" ht="15.75" customHeight="1">
      <c r="E544" s="25"/>
      <c r="F544" s="25"/>
    </row>
    <row r="545" spans="5:6" ht="15.75" customHeight="1">
      <c r="E545" s="25"/>
      <c r="F545" s="25"/>
    </row>
    <row r="546" spans="5:6" ht="15.75" customHeight="1">
      <c r="E546" s="25"/>
      <c r="F546" s="25"/>
    </row>
    <row r="547" spans="5:6" ht="15.75" customHeight="1">
      <c r="E547" s="25"/>
      <c r="F547" s="25"/>
    </row>
    <row r="548" spans="5:6" ht="15.75" customHeight="1">
      <c r="E548" s="25"/>
      <c r="F548" s="25"/>
    </row>
    <row r="549" spans="5:6" ht="15.75" customHeight="1">
      <c r="E549" s="25"/>
      <c r="F549" s="25"/>
    </row>
    <row r="550" spans="5:6" ht="15.75" customHeight="1">
      <c r="E550" s="25"/>
      <c r="F550" s="25"/>
    </row>
    <row r="551" spans="5:6" ht="15.75" customHeight="1">
      <c r="E551" s="21"/>
      <c r="F551" s="25"/>
    </row>
    <row r="552" spans="5:6" ht="15.75" customHeight="1">
      <c r="E552" s="22"/>
      <c r="F552" s="25"/>
    </row>
    <row r="553" spans="5:6" ht="15.75" customHeight="1">
      <c r="E553" s="22" t="s">
        <v>5</v>
      </c>
      <c r="F553" s="25"/>
    </row>
    <row r="554" spans="5:6" ht="15.75" customHeight="1">
      <c r="E554" s="29"/>
      <c r="F554" s="25"/>
    </row>
    <row r="555" spans="5:6" ht="15.75" customHeight="1">
      <c r="E555" s="29"/>
      <c r="F555" s="25"/>
    </row>
    <row r="556" spans="5:6" ht="15.75" customHeight="1">
      <c r="E556" s="29"/>
      <c r="F556" s="25"/>
    </row>
    <row r="557" spans="5:6" ht="15.75" customHeight="1">
      <c r="E557" s="29"/>
      <c r="F557" s="25"/>
    </row>
    <row r="558" spans="5:6" ht="15.75" customHeight="1">
      <c r="E558" s="29"/>
      <c r="F558" s="25"/>
    </row>
    <row r="559" spans="5:6" ht="15.75" customHeight="1">
      <c r="E559" s="29"/>
      <c r="F559" s="25"/>
    </row>
    <row r="560" spans="5:6" ht="15.75" customHeight="1">
      <c r="E560" s="29"/>
      <c r="F560" s="25"/>
    </row>
    <row r="561" spans="5:6" ht="15.75" customHeight="1">
      <c r="E561" s="29"/>
      <c r="F561" s="25"/>
    </row>
    <row r="562" spans="5:6" ht="15.75" customHeight="1">
      <c r="E562" s="29"/>
      <c r="F562" s="25"/>
    </row>
    <row r="563" spans="5:6" ht="15.75" customHeight="1">
      <c r="E563" s="29"/>
      <c r="F563" s="25"/>
    </row>
    <row r="564" spans="5:6" ht="15.75" customHeight="1">
      <c r="E564" s="29"/>
      <c r="F564" s="25"/>
    </row>
    <row r="565" spans="5:6" ht="15.75" customHeight="1">
      <c r="E565" s="29"/>
      <c r="F565" s="25"/>
    </row>
    <row r="566" spans="5:6" ht="15.75" customHeight="1">
      <c r="E566" s="29"/>
      <c r="F566" s="25"/>
    </row>
    <row r="567" spans="5:6" ht="15.75" customHeight="1">
      <c r="E567" s="29"/>
      <c r="F567" s="25"/>
    </row>
    <row r="568" spans="5:6" ht="15.75" customHeight="1">
      <c r="E568" s="29"/>
      <c r="F568" s="25"/>
    </row>
    <row r="569" spans="5:6" ht="15.75" customHeight="1">
      <c r="E569" s="29"/>
      <c r="F569" s="25"/>
    </row>
    <row r="570" spans="5:6" ht="15.75" customHeight="1">
      <c r="E570" s="29"/>
      <c r="F570" s="25"/>
    </row>
    <row r="571" spans="5:6" ht="15.75" customHeight="1">
      <c r="E571" s="29"/>
      <c r="F571" s="25"/>
    </row>
    <row r="572" spans="5:6" ht="15.75" customHeight="1">
      <c r="E572" s="29"/>
      <c r="F572" s="25"/>
    </row>
    <row r="573" spans="5:6" ht="15.75" customHeight="1">
      <c r="E573" s="29"/>
      <c r="F573" s="25"/>
    </row>
    <row r="574" spans="5:6" ht="15.75" customHeight="1">
      <c r="E574" s="29"/>
      <c r="F574" s="25"/>
    </row>
    <row r="575" spans="5:6" ht="15.75" customHeight="1">
      <c r="E575" s="29"/>
      <c r="F575" s="25"/>
    </row>
    <row r="576" spans="5:6" ht="15.75" customHeight="1">
      <c r="E576" s="29"/>
      <c r="F576" s="25"/>
    </row>
    <row r="577" spans="5:6" ht="15.75" customHeight="1">
      <c r="E577" s="29"/>
      <c r="F577" s="25"/>
    </row>
    <row r="578" spans="5:6" ht="15.75" customHeight="1">
      <c r="E578" s="29"/>
      <c r="F578" s="25"/>
    </row>
    <row r="579" spans="5:6" ht="15.75" customHeight="1">
      <c r="E579" s="29"/>
      <c r="F579" s="25"/>
    </row>
    <row r="580" spans="5:6" ht="15.75" customHeight="1">
      <c r="E580" s="29"/>
      <c r="F580" s="25"/>
    </row>
    <row r="581" spans="5:6" ht="15.75" customHeight="1">
      <c r="E581" s="25"/>
      <c r="F581" s="25"/>
    </row>
    <row r="582" spans="5:6" ht="15.75" customHeight="1">
      <c r="E582" s="25"/>
      <c r="F582" s="25"/>
    </row>
    <row r="583" spans="5:6" ht="15.75" customHeight="1">
      <c r="E583" s="25"/>
      <c r="F583" s="25"/>
    </row>
    <row r="584" spans="5:6" ht="15.75" customHeight="1">
      <c r="E584" s="25"/>
      <c r="F584" s="25"/>
    </row>
    <row r="585" spans="5:6" ht="15.75" customHeight="1">
      <c r="E585" s="25"/>
      <c r="F585" s="25"/>
    </row>
    <row r="586" spans="5:6" ht="15.75" customHeight="1">
      <c r="E586" s="25"/>
      <c r="F586" s="25"/>
    </row>
    <row r="587" spans="5:6" ht="15.75" customHeight="1">
      <c r="E587" s="25"/>
      <c r="F587" s="25"/>
    </row>
    <row r="588" spans="5:6" ht="15.75" customHeight="1">
      <c r="E588" s="25"/>
      <c r="F588" s="25"/>
    </row>
    <row r="589" spans="5:6" ht="15.75" customHeight="1">
      <c r="E589" s="25"/>
      <c r="F589" s="25"/>
    </row>
    <row r="590" spans="5:6" ht="15.75" customHeight="1">
      <c r="E590" s="25"/>
      <c r="F590" s="25"/>
    </row>
    <row r="591" spans="5:6" ht="15.75" customHeight="1">
      <c r="E591" s="25"/>
      <c r="F591" s="25"/>
    </row>
    <row r="592" spans="5:6" ht="15.75" customHeight="1">
      <c r="E592" s="25"/>
      <c r="F592" s="25"/>
    </row>
    <row r="593" spans="5:6" ht="15.75" customHeight="1">
      <c r="E593" s="25"/>
      <c r="F593" s="25"/>
    </row>
    <row r="594" spans="5:6" ht="15.75" customHeight="1">
      <c r="E594" s="25"/>
      <c r="F594" s="25"/>
    </row>
    <row r="595" spans="5:6" ht="15.75" customHeight="1">
      <c r="E595" s="25"/>
      <c r="F595" s="25"/>
    </row>
    <row r="596" spans="5:6" ht="15.75" customHeight="1">
      <c r="E596" s="25"/>
      <c r="F596" s="25"/>
    </row>
    <row r="597" spans="5:6" ht="15.75" customHeight="1">
      <c r="E597" s="25"/>
      <c r="F597" s="25"/>
    </row>
    <row r="598" spans="5:6" ht="15.75" customHeight="1">
      <c r="E598" s="25"/>
      <c r="F598" s="25"/>
    </row>
    <row r="599" spans="5:6" ht="15.75" customHeight="1">
      <c r="E599" s="25"/>
      <c r="F599" s="25"/>
    </row>
    <row r="600" spans="5:6" ht="15.75" customHeight="1">
      <c r="E600" s="25"/>
      <c r="F600" s="25"/>
    </row>
    <row r="601" spans="5:6" ht="15.75" customHeight="1">
      <c r="E601" s="21"/>
      <c r="F601" s="25"/>
    </row>
    <row r="602" spans="5:6" ht="15.75" customHeight="1">
      <c r="E602" s="22"/>
      <c r="F602" s="25"/>
    </row>
    <row r="603" spans="5:6" ht="15.75" customHeight="1">
      <c r="E603" s="22" t="s">
        <v>5</v>
      </c>
      <c r="F603" s="25"/>
    </row>
    <row r="604" spans="5:6" ht="15.75" customHeight="1">
      <c r="E604" s="29"/>
      <c r="F604" s="25"/>
    </row>
    <row r="605" spans="5:6" ht="15.75" customHeight="1">
      <c r="E605" s="29"/>
      <c r="F605" s="25"/>
    </row>
    <row r="606" spans="5:6" ht="15.75" customHeight="1">
      <c r="E606" s="29"/>
      <c r="F606" s="25"/>
    </row>
    <row r="607" spans="5:6" ht="15.75" customHeight="1">
      <c r="E607" s="29"/>
      <c r="F607" s="25"/>
    </row>
    <row r="608" spans="5:6" ht="15.75" customHeight="1">
      <c r="E608" s="29"/>
      <c r="F608" s="25"/>
    </row>
    <row r="609" spans="5:6" ht="15.75" customHeight="1">
      <c r="E609" s="29"/>
      <c r="F609" s="25"/>
    </row>
    <row r="610" spans="5:6" ht="15.75" customHeight="1">
      <c r="E610" s="29"/>
      <c r="F610" s="25"/>
    </row>
    <row r="611" spans="5:6" ht="15.75" customHeight="1">
      <c r="E611" s="29"/>
      <c r="F611" s="25"/>
    </row>
    <row r="612" spans="5:6" ht="15.75" customHeight="1">
      <c r="E612" s="29"/>
      <c r="F612" s="25"/>
    </row>
    <row r="613" spans="5:6" ht="15.75" customHeight="1">
      <c r="E613" s="29"/>
      <c r="F613" s="25"/>
    </row>
    <row r="614" spans="5:6" ht="15.75" customHeight="1">
      <c r="E614" s="29"/>
      <c r="F614" s="25"/>
    </row>
    <row r="615" spans="5:6" ht="15.75" customHeight="1">
      <c r="E615" s="29"/>
      <c r="F615" s="25"/>
    </row>
    <row r="616" spans="5:6" ht="15.75" customHeight="1">
      <c r="E616" s="29"/>
      <c r="F616" s="25"/>
    </row>
    <row r="617" spans="5:6" ht="15.75" customHeight="1">
      <c r="E617" s="29"/>
      <c r="F617" s="25"/>
    </row>
    <row r="618" spans="5:6" ht="15.75" customHeight="1">
      <c r="E618" s="29"/>
      <c r="F618" s="25"/>
    </row>
    <row r="619" spans="5:6" ht="15.75" customHeight="1">
      <c r="E619" s="29"/>
      <c r="F619" s="25"/>
    </row>
    <row r="620" spans="5:6" ht="15.75" customHeight="1">
      <c r="E620" s="29"/>
      <c r="F620" s="25"/>
    </row>
    <row r="621" spans="5:6" ht="15.75" customHeight="1">
      <c r="E621" s="29"/>
      <c r="F621" s="25"/>
    </row>
    <row r="622" spans="5:6" ht="15.75" customHeight="1">
      <c r="E622" s="29"/>
      <c r="F622" s="25"/>
    </row>
    <row r="623" spans="5:6" ht="15.75" customHeight="1">
      <c r="E623" s="29"/>
      <c r="F623" s="25"/>
    </row>
    <row r="624" spans="5:6" ht="15.75" customHeight="1">
      <c r="E624" s="29"/>
      <c r="F624" s="25"/>
    </row>
    <row r="625" spans="5:6" ht="15.75" customHeight="1">
      <c r="E625" s="29"/>
      <c r="F625" s="25"/>
    </row>
    <row r="626" spans="5:6" ht="15.75" customHeight="1">
      <c r="E626" s="29"/>
      <c r="F626" s="25"/>
    </row>
    <row r="627" spans="5:6" ht="15.75" customHeight="1">
      <c r="E627" s="29"/>
      <c r="F627" s="25"/>
    </row>
    <row r="628" spans="5:6" ht="15.75" customHeight="1">
      <c r="E628" s="29"/>
      <c r="F628" s="25"/>
    </row>
    <row r="629" spans="5:6" ht="15.75" customHeight="1">
      <c r="E629" s="29"/>
      <c r="F629" s="25"/>
    </row>
    <row r="630" spans="5:6" ht="15.75" customHeight="1">
      <c r="E630" s="29"/>
      <c r="F630" s="25"/>
    </row>
    <row r="631" spans="5:6" ht="15.75" customHeight="1">
      <c r="E631" s="25"/>
      <c r="F631" s="25"/>
    </row>
    <row r="632" spans="5:6" ht="15.75" customHeight="1">
      <c r="E632" s="25"/>
      <c r="F632" s="25"/>
    </row>
    <row r="633" spans="5:6" ht="15.75" customHeight="1">
      <c r="E633" s="25"/>
      <c r="F633" s="25"/>
    </row>
    <row r="634" spans="5:6" ht="15.75" customHeight="1">
      <c r="E634" s="25"/>
      <c r="F634" s="25"/>
    </row>
    <row r="635" spans="5:6" ht="15.75" customHeight="1">
      <c r="E635" s="25"/>
      <c r="F635" s="25"/>
    </row>
    <row r="636" spans="5:6" ht="15.75" customHeight="1">
      <c r="E636" s="25"/>
      <c r="F636" s="25"/>
    </row>
    <row r="637" spans="5:6" ht="15.75" customHeight="1">
      <c r="E637" s="25"/>
      <c r="F637" s="25"/>
    </row>
    <row r="638" spans="5:6" ht="15.75" customHeight="1">
      <c r="E638" s="25"/>
      <c r="F638" s="25"/>
    </row>
    <row r="639" spans="5:6" ht="15.75" customHeight="1">
      <c r="E639" s="25"/>
      <c r="F639" s="25"/>
    </row>
    <row r="640" spans="5:6" ht="15.75" customHeight="1">
      <c r="E640" s="25"/>
      <c r="F640" s="25"/>
    </row>
    <row r="641" spans="5:6" ht="15.75" customHeight="1">
      <c r="E641" s="25"/>
      <c r="F641" s="25"/>
    </row>
    <row r="642" spans="5:6" ht="15.75" customHeight="1">
      <c r="E642" s="25"/>
      <c r="F642" s="25"/>
    </row>
    <row r="643" spans="5:6" ht="15.75" customHeight="1">
      <c r="E643" s="25"/>
      <c r="F643" s="25"/>
    </row>
    <row r="644" spans="5:6" ht="15.75" customHeight="1">
      <c r="E644" s="25"/>
      <c r="F644" s="25"/>
    </row>
    <row r="645" spans="5:6" ht="15.75" customHeight="1">
      <c r="E645" s="25"/>
      <c r="F645" s="25"/>
    </row>
    <row r="646" spans="5:6" ht="15.75" customHeight="1">
      <c r="E646" s="25"/>
      <c r="F646" s="25"/>
    </row>
    <row r="647" spans="5:6" ht="15.75" customHeight="1">
      <c r="E647" s="25"/>
      <c r="F647" s="25"/>
    </row>
    <row r="648" spans="5:6" ht="15.75" customHeight="1">
      <c r="E648" s="25"/>
      <c r="F648" s="25"/>
    </row>
    <row r="649" spans="5:6" ht="15.75" customHeight="1">
      <c r="E649" s="25"/>
      <c r="F649" s="25"/>
    </row>
    <row r="650" spans="5:6" ht="15.75" customHeight="1">
      <c r="E650" s="25"/>
      <c r="F650" s="25"/>
    </row>
    <row r="651" spans="5:6" ht="15.75" customHeight="1">
      <c r="E651" s="21"/>
      <c r="F651" s="25"/>
    </row>
    <row r="652" spans="5:6" ht="15.75" customHeight="1">
      <c r="E652" s="22"/>
      <c r="F652" s="25"/>
    </row>
    <row r="653" spans="5:6" ht="15.75" customHeight="1">
      <c r="E653" s="22" t="s">
        <v>5</v>
      </c>
      <c r="F653" s="25"/>
    </row>
    <row r="654" spans="5:6" ht="15.75" customHeight="1">
      <c r="E654" s="29"/>
      <c r="F654" s="25"/>
    </row>
    <row r="655" spans="5:6" ht="15.75" customHeight="1">
      <c r="E655" s="29"/>
      <c r="F655" s="25"/>
    </row>
    <row r="656" spans="5:6" ht="15.75" customHeight="1">
      <c r="E656" s="29"/>
      <c r="F656" s="25"/>
    </row>
    <row r="657" spans="5:6" ht="15.75" customHeight="1">
      <c r="E657" s="29"/>
      <c r="F657" s="25"/>
    </row>
    <row r="658" spans="5:6" ht="15.75" customHeight="1">
      <c r="E658" s="29"/>
      <c r="F658" s="25"/>
    </row>
    <row r="659" spans="5:6" ht="15.75" customHeight="1">
      <c r="E659" s="29"/>
      <c r="F659" s="25"/>
    </row>
    <row r="660" spans="5:6" ht="15.75" customHeight="1">
      <c r="E660" s="29"/>
      <c r="F660" s="25"/>
    </row>
    <row r="661" spans="5:6" ht="15.75" customHeight="1">
      <c r="E661" s="29"/>
      <c r="F661" s="25"/>
    </row>
    <row r="662" spans="5:6" ht="15.75" customHeight="1">
      <c r="E662" s="29"/>
      <c r="F662" s="25"/>
    </row>
    <row r="663" spans="5:6" ht="15.75" customHeight="1">
      <c r="E663" s="29"/>
      <c r="F663" s="25"/>
    </row>
    <row r="664" spans="5:6" ht="15.75" customHeight="1">
      <c r="E664" s="29"/>
      <c r="F664" s="25"/>
    </row>
    <row r="665" spans="5:6" ht="15.75" customHeight="1">
      <c r="E665" s="29"/>
      <c r="F665" s="25"/>
    </row>
    <row r="666" spans="5:6" ht="15.75" customHeight="1">
      <c r="E666" s="29"/>
      <c r="F666" s="25"/>
    </row>
    <row r="667" spans="5:6" ht="15.75" customHeight="1">
      <c r="E667" s="29"/>
      <c r="F667" s="25"/>
    </row>
    <row r="668" spans="5:6" ht="15.75" customHeight="1">
      <c r="E668" s="29"/>
      <c r="F668" s="25"/>
    </row>
    <row r="669" spans="5:6" ht="15.75" customHeight="1">
      <c r="E669" s="29"/>
      <c r="F669" s="25"/>
    </row>
    <row r="670" spans="5:6" ht="15.75" customHeight="1">
      <c r="E670" s="29"/>
      <c r="F670" s="25"/>
    </row>
    <row r="671" spans="5:6" ht="15.75" customHeight="1">
      <c r="E671" s="29"/>
      <c r="F671" s="25"/>
    </row>
    <row r="672" spans="5:6" ht="15.75" customHeight="1">
      <c r="E672" s="29"/>
      <c r="F672" s="25"/>
    </row>
    <row r="673" spans="5:6" ht="15.75" customHeight="1">
      <c r="E673" s="29"/>
      <c r="F673" s="25"/>
    </row>
    <row r="674" spans="5:6" ht="15.75" customHeight="1">
      <c r="E674" s="29"/>
      <c r="F674" s="25"/>
    </row>
    <row r="675" spans="5:6" ht="15.75" customHeight="1">
      <c r="E675" s="29"/>
      <c r="F675" s="25"/>
    </row>
    <row r="676" spans="5:6" ht="15.75" customHeight="1">
      <c r="E676" s="29"/>
      <c r="F676" s="25"/>
    </row>
    <row r="677" spans="5:6" ht="15.75" customHeight="1">
      <c r="E677" s="29"/>
      <c r="F677" s="25"/>
    </row>
    <row r="678" spans="5:6" ht="15.75" customHeight="1">
      <c r="E678" s="29"/>
      <c r="F678" s="25"/>
    </row>
    <row r="679" spans="5:6" ht="15.75" customHeight="1">
      <c r="E679" s="29"/>
      <c r="F679" s="25"/>
    </row>
    <row r="680" spans="5:6" ht="15.75" customHeight="1">
      <c r="E680" s="29"/>
      <c r="F680" s="25"/>
    </row>
    <row r="681" spans="5:6" ht="15.75" customHeight="1">
      <c r="E681" s="25"/>
      <c r="F681" s="25"/>
    </row>
    <row r="682" spans="5:6" ht="15.75" customHeight="1">
      <c r="E682" s="25"/>
      <c r="F682" s="25"/>
    </row>
    <row r="683" spans="5:6" ht="15.75" customHeight="1">
      <c r="E683" s="25"/>
      <c r="F683" s="25"/>
    </row>
    <row r="684" spans="5:6" ht="15.75" customHeight="1">
      <c r="E684" s="25"/>
      <c r="F684" s="25"/>
    </row>
    <row r="685" spans="5:6" ht="15.75" customHeight="1">
      <c r="E685" s="25"/>
      <c r="F685" s="25"/>
    </row>
    <row r="686" spans="5:6" ht="15.75" customHeight="1">
      <c r="E686" s="25"/>
      <c r="F686" s="25"/>
    </row>
    <row r="687" spans="5:6" ht="15.75" customHeight="1">
      <c r="E687" s="25"/>
      <c r="F687" s="25"/>
    </row>
    <row r="688" spans="5:6" ht="15.75" customHeight="1">
      <c r="E688" s="25"/>
      <c r="F688" s="25"/>
    </row>
    <row r="689" spans="5:6" ht="15.75" customHeight="1">
      <c r="E689" s="25"/>
      <c r="F689" s="25"/>
    </row>
    <row r="690" spans="5:6" ht="15.75" customHeight="1">
      <c r="E690" s="25"/>
      <c r="F690" s="25"/>
    </row>
    <row r="691" spans="5:6" ht="15.75" customHeight="1">
      <c r="E691" s="25"/>
      <c r="F691" s="25"/>
    </row>
    <row r="692" spans="5:6" ht="15.75" customHeight="1">
      <c r="E692" s="25"/>
      <c r="F692" s="25"/>
    </row>
    <row r="693" spans="5:6" ht="15.75" customHeight="1">
      <c r="E693" s="25"/>
      <c r="F693" s="25"/>
    </row>
    <row r="694" spans="5:6" ht="15.75" customHeight="1">
      <c r="E694" s="25"/>
      <c r="F694" s="25"/>
    </row>
    <row r="695" spans="5:6" ht="15.75" customHeight="1">
      <c r="E695" s="25"/>
      <c r="F695" s="25"/>
    </row>
    <row r="696" spans="5:6" ht="15.75" customHeight="1">
      <c r="E696" s="25"/>
      <c r="F696" s="25"/>
    </row>
    <row r="697" spans="5:6" ht="15.75" customHeight="1">
      <c r="E697" s="25"/>
      <c r="F697" s="25"/>
    </row>
    <row r="698" spans="5:6" ht="15.75" customHeight="1">
      <c r="E698" s="25"/>
      <c r="F698" s="25"/>
    </row>
    <row r="699" spans="5:6" ht="15.75" customHeight="1">
      <c r="E699" s="25"/>
      <c r="F699" s="25"/>
    </row>
    <row r="700" spans="5:6" ht="15.75" customHeight="1">
      <c r="E700" s="25"/>
      <c r="F700" s="25"/>
    </row>
    <row r="701" spans="5:6" ht="15.75" customHeight="1">
      <c r="E701" s="21"/>
      <c r="F701" s="25"/>
    </row>
    <row r="702" spans="5:6" ht="15.75" customHeight="1">
      <c r="E702" s="22"/>
      <c r="F702" s="25"/>
    </row>
    <row r="703" spans="5:6" ht="15.75" customHeight="1">
      <c r="E703" s="22" t="s">
        <v>5</v>
      </c>
      <c r="F703" s="25"/>
    </row>
    <row r="704" spans="5:6" ht="15.75" customHeight="1">
      <c r="E704" s="29"/>
      <c r="F704" s="25"/>
    </row>
    <row r="705" spans="5:6" ht="15.75" customHeight="1">
      <c r="E705" s="29"/>
      <c r="F705" s="25"/>
    </row>
    <row r="706" spans="5:6" ht="15.75" customHeight="1">
      <c r="E706" s="29"/>
      <c r="F706" s="25"/>
    </row>
    <row r="707" spans="5:6" ht="15.75" customHeight="1">
      <c r="E707" s="29"/>
      <c r="F707" s="25"/>
    </row>
    <row r="708" spans="5:6" ht="15.75" customHeight="1">
      <c r="E708" s="29"/>
      <c r="F708" s="25"/>
    </row>
    <row r="709" spans="5:6" ht="15.75" customHeight="1">
      <c r="E709" s="29"/>
      <c r="F709" s="25"/>
    </row>
    <row r="710" spans="5:6" ht="15.75" customHeight="1">
      <c r="E710" s="29"/>
      <c r="F710" s="25"/>
    </row>
    <row r="711" spans="5:6" ht="15.75" customHeight="1">
      <c r="E711" s="29"/>
      <c r="F711" s="25"/>
    </row>
    <row r="712" spans="5:6" ht="15.75" customHeight="1">
      <c r="E712" s="29"/>
      <c r="F712" s="25"/>
    </row>
    <row r="713" spans="5:6" ht="15.75" customHeight="1">
      <c r="E713" s="29"/>
      <c r="F713" s="25"/>
    </row>
    <row r="714" spans="5:6" ht="15.75" customHeight="1">
      <c r="E714" s="29"/>
      <c r="F714" s="25"/>
    </row>
    <row r="715" spans="5:6" ht="15.75" customHeight="1">
      <c r="E715" s="29"/>
      <c r="F715" s="25"/>
    </row>
    <row r="716" spans="5:6" ht="15.75" customHeight="1">
      <c r="E716" s="29"/>
      <c r="F716" s="25"/>
    </row>
    <row r="717" spans="5:6" ht="15.75" customHeight="1">
      <c r="E717" s="29"/>
      <c r="F717" s="25"/>
    </row>
    <row r="718" spans="5:6" ht="15.75" customHeight="1">
      <c r="E718" s="29"/>
      <c r="F718" s="25"/>
    </row>
    <row r="719" spans="5:6" ht="15.75" customHeight="1">
      <c r="E719" s="29"/>
      <c r="F719" s="25"/>
    </row>
    <row r="720" spans="5:6" ht="15.75" customHeight="1">
      <c r="E720" s="29"/>
      <c r="F720" s="25"/>
    </row>
    <row r="721" spans="5:6" ht="15.75" customHeight="1">
      <c r="E721" s="29"/>
      <c r="F721" s="25"/>
    </row>
    <row r="722" spans="5:6" ht="15.75" customHeight="1">
      <c r="E722" s="29"/>
      <c r="F722" s="25"/>
    </row>
    <row r="723" spans="5:6" ht="15.75" customHeight="1">
      <c r="E723" s="29"/>
      <c r="F723" s="25"/>
    </row>
    <row r="724" spans="5:6" ht="15.75" customHeight="1">
      <c r="E724" s="29"/>
      <c r="F724" s="25"/>
    </row>
    <row r="725" spans="5:6" ht="15.75" customHeight="1">
      <c r="E725" s="29"/>
      <c r="F725" s="25"/>
    </row>
    <row r="726" spans="5:6" ht="15.75" customHeight="1">
      <c r="E726" s="29"/>
      <c r="F726" s="25"/>
    </row>
    <row r="727" spans="5:6" ht="15.75" customHeight="1">
      <c r="E727" s="29"/>
      <c r="F727" s="25"/>
    </row>
    <row r="728" spans="5:6" ht="15.75" customHeight="1">
      <c r="E728" s="29"/>
      <c r="F728" s="25"/>
    </row>
    <row r="729" spans="5:6" ht="15.75" customHeight="1">
      <c r="E729" s="29"/>
      <c r="F729" s="25"/>
    </row>
    <row r="730" spans="5:6" ht="15.75" customHeight="1">
      <c r="E730" s="29"/>
      <c r="F730" s="25"/>
    </row>
    <row r="731" spans="5:6" ht="15.75" customHeight="1">
      <c r="E731" s="25"/>
      <c r="F731" s="25"/>
    </row>
    <row r="732" spans="5:6" ht="15.75" customHeight="1">
      <c r="E732" s="25"/>
      <c r="F732" s="25"/>
    </row>
    <row r="733" spans="5:6" ht="15.75" customHeight="1">
      <c r="E733" s="25"/>
      <c r="F733" s="25"/>
    </row>
    <row r="734" spans="5:6" ht="15.75" customHeight="1">
      <c r="E734" s="25"/>
      <c r="F734" s="25"/>
    </row>
    <row r="735" spans="5:6" ht="15.75" customHeight="1">
      <c r="E735" s="25"/>
      <c r="F735" s="25"/>
    </row>
    <row r="736" spans="5:6" ht="15.75" customHeight="1">
      <c r="E736" s="25"/>
      <c r="F736" s="25"/>
    </row>
    <row r="737" spans="5:6" ht="15.75" customHeight="1">
      <c r="E737" s="25"/>
      <c r="F737" s="25"/>
    </row>
    <row r="738" spans="5:6" ht="15.75" customHeight="1">
      <c r="E738" s="25"/>
      <c r="F738" s="25"/>
    </row>
    <row r="739" spans="5:6" ht="15.75" customHeight="1">
      <c r="E739" s="25"/>
      <c r="F739" s="25"/>
    </row>
    <row r="740" spans="5:6" ht="15.75" customHeight="1">
      <c r="E740" s="25"/>
      <c r="F740" s="25"/>
    </row>
    <row r="741" spans="5:6" ht="15.75" customHeight="1">
      <c r="E741" s="25"/>
      <c r="F741" s="25"/>
    </row>
    <row r="742" spans="5:6" ht="15.75" customHeight="1">
      <c r="E742" s="25"/>
      <c r="F742" s="25"/>
    </row>
    <row r="743" spans="5:6" ht="15.75" customHeight="1">
      <c r="E743" s="25"/>
      <c r="F743" s="25"/>
    </row>
    <row r="744" spans="5:6" ht="15.75" customHeight="1">
      <c r="E744" s="25"/>
      <c r="F744" s="25"/>
    </row>
    <row r="745" spans="5:6" ht="15.75" customHeight="1">
      <c r="E745" s="25"/>
      <c r="F745" s="25"/>
    </row>
    <row r="746" spans="5:6" ht="15.75" customHeight="1">
      <c r="E746" s="25"/>
      <c r="F746" s="25"/>
    </row>
    <row r="747" spans="5:6" ht="15.75" customHeight="1">
      <c r="E747" s="25"/>
      <c r="F747" s="25"/>
    </row>
    <row r="748" spans="5:6" ht="15.75" customHeight="1">
      <c r="E748" s="25"/>
      <c r="F748" s="25"/>
    </row>
    <row r="749" spans="5:6" ht="15.75" customHeight="1">
      <c r="E749" s="25"/>
      <c r="F749" s="25"/>
    </row>
    <row r="750" spans="5:6" ht="15.75" customHeight="1">
      <c r="E750" s="25"/>
      <c r="F750" s="25"/>
    </row>
    <row r="751" spans="5:6" ht="15.75" customHeight="1">
      <c r="E751" s="21"/>
      <c r="F751" s="25"/>
    </row>
    <row r="752" spans="5:6" ht="15.75" customHeight="1">
      <c r="E752" s="22"/>
      <c r="F752" s="25"/>
    </row>
    <row r="753" spans="5:6" ht="15.75" customHeight="1">
      <c r="E753" s="22" t="s">
        <v>5</v>
      </c>
      <c r="F753" s="25"/>
    </row>
    <row r="754" spans="5:6" ht="15.75" customHeight="1">
      <c r="E754" s="29"/>
      <c r="F754" s="25"/>
    </row>
    <row r="755" spans="5:6" ht="15.75" customHeight="1">
      <c r="E755" s="29"/>
      <c r="F755" s="25"/>
    </row>
    <row r="756" spans="5:6" ht="15.75" customHeight="1">
      <c r="E756" s="29"/>
      <c r="F756" s="25"/>
    </row>
    <row r="757" spans="5:6" ht="15.75" customHeight="1">
      <c r="E757" s="29"/>
      <c r="F757" s="25"/>
    </row>
    <row r="758" spans="5:6" ht="15.75" customHeight="1">
      <c r="E758" s="29"/>
      <c r="F758" s="25"/>
    </row>
    <row r="759" spans="5:6" ht="15.75" customHeight="1">
      <c r="E759" s="29"/>
      <c r="F759" s="25"/>
    </row>
    <row r="760" spans="5:6" ht="15.75" customHeight="1">
      <c r="E760" s="29"/>
      <c r="F760" s="25"/>
    </row>
    <row r="761" spans="5:6" ht="15.75" customHeight="1">
      <c r="E761" s="29"/>
      <c r="F761" s="25"/>
    </row>
    <row r="762" spans="5:6" ht="15.75" customHeight="1">
      <c r="E762" s="29"/>
      <c r="F762" s="25"/>
    </row>
    <row r="763" spans="5:6" ht="15.75" customHeight="1">
      <c r="E763" s="29"/>
      <c r="F763" s="25"/>
    </row>
    <row r="764" spans="5:6" ht="15.75" customHeight="1">
      <c r="E764" s="29"/>
      <c r="F764" s="25"/>
    </row>
    <row r="765" spans="5:6" ht="15.75" customHeight="1">
      <c r="E765" s="29"/>
      <c r="F765" s="25"/>
    </row>
    <row r="766" spans="5:6" ht="15.75" customHeight="1">
      <c r="E766" s="29"/>
      <c r="F766" s="25"/>
    </row>
    <row r="767" spans="5:6" ht="15.75" customHeight="1">
      <c r="E767" s="29"/>
      <c r="F767" s="25"/>
    </row>
    <row r="768" spans="5:6" ht="15.75" customHeight="1">
      <c r="E768" s="29"/>
      <c r="F768" s="25"/>
    </row>
    <row r="769" spans="5:6" ht="15.75" customHeight="1">
      <c r="E769" s="29"/>
      <c r="F769" s="25"/>
    </row>
    <row r="770" spans="5:6" ht="15.75" customHeight="1">
      <c r="E770" s="29"/>
      <c r="F770" s="25"/>
    </row>
    <row r="771" spans="5:6" ht="15.75" customHeight="1">
      <c r="E771" s="29"/>
      <c r="F771" s="25"/>
    </row>
    <row r="772" spans="5:6" ht="15.75" customHeight="1">
      <c r="E772" s="29"/>
      <c r="F772" s="25"/>
    </row>
    <row r="773" spans="5:6" ht="15.75" customHeight="1">
      <c r="E773" s="29"/>
      <c r="F773" s="25"/>
    </row>
    <row r="774" spans="5:6" ht="15.75" customHeight="1">
      <c r="E774" s="29"/>
      <c r="F774" s="25"/>
    </row>
    <row r="775" spans="5:6" ht="15.75" customHeight="1">
      <c r="E775" s="29"/>
      <c r="F775" s="25"/>
    </row>
    <row r="776" spans="5:6" ht="15.75" customHeight="1">
      <c r="E776" s="29"/>
      <c r="F776" s="25"/>
    </row>
    <row r="777" spans="5:6" ht="15.75" customHeight="1">
      <c r="E777" s="29"/>
      <c r="F777" s="25"/>
    </row>
    <row r="778" spans="5:6" ht="15.75" customHeight="1">
      <c r="E778" s="29"/>
      <c r="F778" s="25"/>
    </row>
    <row r="779" spans="5:6" ht="15.75" customHeight="1">
      <c r="E779" s="29"/>
      <c r="F779" s="25"/>
    </row>
    <row r="780" spans="5:6" ht="15.75" customHeight="1">
      <c r="E780" s="29"/>
      <c r="F780" s="25"/>
    </row>
    <row r="781" spans="5:6" ht="15.75" customHeight="1">
      <c r="E781" s="25"/>
      <c r="F781" s="25"/>
    </row>
    <row r="782" spans="5:6" ht="15.75" customHeight="1">
      <c r="E782" s="25"/>
      <c r="F782" s="25"/>
    </row>
    <row r="783" spans="5:6" ht="15.75" customHeight="1">
      <c r="E783" s="25"/>
      <c r="F783" s="25"/>
    </row>
    <row r="784" spans="5:6" ht="15.75" customHeight="1">
      <c r="E784" s="25"/>
      <c r="F784" s="25"/>
    </row>
    <row r="785" spans="5:6" ht="15.75" customHeight="1">
      <c r="E785" s="25"/>
      <c r="F785" s="25"/>
    </row>
    <row r="786" spans="5:6" ht="15.75" customHeight="1">
      <c r="E786" s="25"/>
      <c r="F786" s="25"/>
    </row>
    <row r="787" spans="5:6" ht="15.75" customHeight="1">
      <c r="E787" s="25"/>
      <c r="F787" s="25"/>
    </row>
    <row r="788" spans="5:6" ht="15.75" customHeight="1">
      <c r="E788" s="25"/>
      <c r="F788" s="25"/>
    </row>
    <row r="789" spans="5:6" ht="15.75" customHeight="1">
      <c r="E789" s="25"/>
      <c r="F789" s="25"/>
    </row>
    <row r="790" spans="5:6" ht="15.75" customHeight="1">
      <c r="E790" s="25"/>
      <c r="F790" s="25"/>
    </row>
    <row r="791" spans="5:6" ht="15.75" customHeight="1">
      <c r="E791" s="25"/>
      <c r="F791" s="25"/>
    </row>
    <row r="792" spans="5:6" ht="15.75" customHeight="1">
      <c r="E792" s="25"/>
      <c r="F792" s="25"/>
    </row>
    <row r="793" spans="5:6" ht="15.75" customHeight="1">
      <c r="E793" s="25"/>
      <c r="F793" s="25"/>
    </row>
    <row r="794" spans="5:6" ht="15.75" customHeight="1">
      <c r="E794" s="25"/>
      <c r="F794" s="25"/>
    </row>
    <row r="795" spans="5:6" ht="15.75" customHeight="1">
      <c r="E795" s="25"/>
      <c r="F795" s="25"/>
    </row>
    <row r="796" spans="5:6" ht="15.75" customHeight="1">
      <c r="E796" s="25"/>
      <c r="F796" s="25"/>
    </row>
    <row r="797" spans="5:6" ht="15.75" customHeight="1">
      <c r="E797" s="25"/>
      <c r="F797" s="25"/>
    </row>
    <row r="798" spans="5:6" ht="15.75" customHeight="1">
      <c r="E798" s="25"/>
      <c r="F798" s="25"/>
    </row>
    <row r="799" spans="5:6" ht="15.75" customHeight="1">
      <c r="E799" s="25"/>
      <c r="F799" s="25"/>
    </row>
    <row r="800" spans="5:6" ht="15.75" customHeight="1">
      <c r="E800" s="25"/>
      <c r="F800" s="25"/>
    </row>
    <row r="801" spans="5:6" ht="15.75" customHeight="1">
      <c r="E801" s="21"/>
      <c r="F801" s="25"/>
    </row>
    <row r="802" spans="5:6" ht="15.75" customHeight="1">
      <c r="E802" s="22"/>
      <c r="F802" s="25"/>
    </row>
    <row r="803" spans="5:6" ht="15.75" customHeight="1">
      <c r="E803" s="22" t="s">
        <v>5</v>
      </c>
      <c r="F803" s="25"/>
    </row>
    <row r="804" spans="5:6" ht="15.75" customHeight="1">
      <c r="E804" s="29"/>
      <c r="F804" s="25"/>
    </row>
    <row r="805" spans="5:6" ht="15.75" customHeight="1">
      <c r="E805" s="29"/>
      <c r="F805" s="25"/>
    </row>
    <row r="806" spans="5:6" ht="15.75" customHeight="1">
      <c r="E806" s="29"/>
      <c r="F806" s="25"/>
    </row>
    <row r="807" spans="5:6" ht="15.75" customHeight="1">
      <c r="E807" s="29"/>
      <c r="F807" s="25"/>
    </row>
    <row r="808" spans="5:6" ht="15.75" customHeight="1">
      <c r="E808" s="29"/>
      <c r="F808" s="25"/>
    </row>
    <row r="809" spans="5:6" ht="15.75" customHeight="1">
      <c r="E809" s="29"/>
      <c r="F809" s="25"/>
    </row>
    <row r="810" spans="5:6" ht="15.75" customHeight="1">
      <c r="E810" s="29"/>
      <c r="F810" s="25"/>
    </row>
    <row r="811" spans="5:6" ht="15.75" customHeight="1">
      <c r="E811" s="29"/>
      <c r="F811" s="25"/>
    </row>
    <row r="812" spans="5:6" ht="15.75" customHeight="1">
      <c r="E812" s="29"/>
      <c r="F812" s="25"/>
    </row>
    <row r="813" spans="5:6" ht="15.75" customHeight="1">
      <c r="E813" s="29"/>
      <c r="F813" s="25"/>
    </row>
    <row r="814" spans="5:6" ht="15.75" customHeight="1">
      <c r="E814" s="29"/>
      <c r="F814" s="25"/>
    </row>
    <row r="815" spans="5:6" ht="15.75" customHeight="1">
      <c r="E815" s="29"/>
      <c r="F815" s="25"/>
    </row>
    <row r="816" spans="5:6" ht="15.75" customHeight="1">
      <c r="E816" s="29"/>
      <c r="F816" s="25"/>
    </row>
    <row r="817" spans="5:6" ht="15.75" customHeight="1">
      <c r="E817" s="29"/>
      <c r="F817" s="25"/>
    </row>
    <row r="818" spans="5:6" ht="15.75" customHeight="1">
      <c r="E818" s="29"/>
      <c r="F818" s="25"/>
    </row>
    <row r="819" spans="5:6" ht="15.75" customHeight="1">
      <c r="E819" s="29"/>
      <c r="F819" s="25"/>
    </row>
    <row r="820" spans="5:6" ht="15.75" customHeight="1">
      <c r="E820" s="29"/>
      <c r="F820" s="25"/>
    </row>
    <row r="821" spans="5:6" ht="15.75" customHeight="1">
      <c r="E821" s="29"/>
      <c r="F821" s="25"/>
    </row>
    <row r="822" spans="5:6" ht="15.75" customHeight="1">
      <c r="E822" s="29"/>
      <c r="F822" s="25"/>
    </row>
    <row r="823" spans="5:6" ht="15.75" customHeight="1">
      <c r="E823" s="29"/>
      <c r="F823" s="25"/>
    </row>
    <row r="824" spans="5:6" ht="15.75" customHeight="1">
      <c r="E824" s="29"/>
      <c r="F824" s="25"/>
    </row>
    <row r="825" spans="5:6" ht="15.75" customHeight="1">
      <c r="E825" s="29"/>
      <c r="F825" s="25"/>
    </row>
    <row r="826" spans="5:6" ht="15.75" customHeight="1">
      <c r="E826" s="29"/>
      <c r="F826" s="25"/>
    </row>
    <row r="827" spans="5:6" ht="15.75" customHeight="1">
      <c r="E827" s="29"/>
      <c r="F827" s="25"/>
    </row>
    <row r="828" spans="5:6" ht="15.75" customHeight="1">
      <c r="E828" s="29"/>
      <c r="F828" s="25"/>
    </row>
    <row r="829" spans="5:6" ht="15.75" customHeight="1">
      <c r="E829" s="29"/>
      <c r="F829" s="25"/>
    </row>
    <row r="830" spans="5:6" ht="15.75" customHeight="1">
      <c r="E830" s="29"/>
      <c r="F830" s="25"/>
    </row>
    <row r="831" spans="5:6" ht="15.75" customHeight="1">
      <c r="E831" s="25"/>
      <c r="F831" s="25"/>
    </row>
    <row r="832" spans="5:6" ht="15.75" customHeight="1">
      <c r="E832" s="25"/>
      <c r="F832" s="25"/>
    </row>
    <row r="833" spans="5:6" ht="15.75" customHeight="1">
      <c r="E833" s="25"/>
      <c r="F833" s="25"/>
    </row>
    <row r="834" spans="5:6" ht="15.75" customHeight="1">
      <c r="E834" s="25"/>
      <c r="F834" s="25"/>
    </row>
    <row r="835" spans="5:6" ht="15.75" customHeight="1">
      <c r="E835" s="25"/>
      <c r="F835" s="25"/>
    </row>
    <row r="836" spans="5:6" ht="15.75" customHeight="1">
      <c r="E836" s="25"/>
      <c r="F836" s="25"/>
    </row>
    <row r="837" spans="5:6" ht="15.75" customHeight="1">
      <c r="E837" s="25"/>
      <c r="F837" s="25"/>
    </row>
    <row r="838" spans="5:6" ht="15.75" customHeight="1">
      <c r="E838" s="25"/>
      <c r="F838" s="25"/>
    </row>
    <row r="839" spans="5:6" ht="15.75" customHeight="1">
      <c r="E839" s="25"/>
      <c r="F839" s="25"/>
    </row>
    <row r="840" spans="5:6" ht="15.75" customHeight="1">
      <c r="E840" s="25"/>
      <c r="F840" s="25"/>
    </row>
    <row r="841" spans="5:6" ht="15.75" customHeight="1">
      <c r="E841" s="25"/>
      <c r="F841" s="25"/>
    </row>
    <row r="842" spans="5:6" ht="15.75" customHeight="1">
      <c r="E842" s="25"/>
      <c r="F842" s="25"/>
    </row>
    <row r="843" spans="5:6" ht="15.75" customHeight="1">
      <c r="E843" s="25"/>
      <c r="F843" s="25"/>
    </row>
    <row r="844" spans="5:6" ht="15.75" customHeight="1">
      <c r="E844" s="25"/>
      <c r="F844" s="25"/>
    </row>
    <row r="845" spans="5:6" ht="15.75" customHeight="1">
      <c r="E845" s="25"/>
      <c r="F845" s="25"/>
    </row>
    <row r="846" spans="5:6" ht="15.75" customHeight="1">
      <c r="E846" s="25"/>
      <c r="F846" s="25"/>
    </row>
    <row r="847" spans="5:6" ht="15.75" customHeight="1">
      <c r="E847" s="25"/>
      <c r="F847" s="25"/>
    </row>
    <row r="848" spans="5:6" ht="15.75" customHeight="1">
      <c r="E848" s="25"/>
      <c r="F848" s="25"/>
    </row>
    <row r="849" spans="5:6" ht="15.75" customHeight="1">
      <c r="E849" s="25"/>
      <c r="F849" s="25"/>
    </row>
    <row r="850" spans="5:6" ht="15.75" customHeight="1">
      <c r="E850" s="25"/>
      <c r="F850" s="25"/>
    </row>
    <row r="851" spans="5:6" ht="15.75" customHeight="1">
      <c r="E851" s="21"/>
      <c r="F851" s="25"/>
    </row>
    <row r="852" spans="5:6" ht="15.75" customHeight="1">
      <c r="E852" s="22"/>
      <c r="F852" s="25"/>
    </row>
    <row r="853" spans="5:6" ht="15.75" customHeight="1">
      <c r="E853" s="22" t="s">
        <v>5</v>
      </c>
      <c r="F853" s="25"/>
    </row>
    <row r="854" spans="5:6" ht="15.75" customHeight="1">
      <c r="E854" s="29"/>
      <c r="F854" s="25"/>
    </row>
    <row r="855" spans="5:6" ht="15.75" customHeight="1">
      <c r="E855" s="29"/>
      <c r="F855" s="25"/>
    </row>
    <row r="856" spans="5:6" ht="15.75" customHeight="1">
      <c r="E856" s="29"/>
      <c r="F856" s="25"/>
    </row>
    <row r="857" spans="5:6" ht="15.75" customHeight="1">
      <c r="E857" s="29"/>
      <c r="F857" s="25"/>
    </row>
    <row r="858" spans="5:6" ht="15.75" customHeight="1">
      <c r="E858" s="29"/>
      <c r="F858" s="25"/>
    </row>
    <row r="859" spans="5:6" ht="15.75" customHeight="1">
      <c r="E859" s="29"/>
      <c r="F859" s="25"/>
    </row>
    <row r="860" spans="5:6" ht="15.75" customHeight="1">
      <c r="E860" s="29"/>
      <c r="F860" s="25"/>
    </row>
    <row r="861" spans="5:6" ht="15.75" customHeight="1">
      <c r="E861" s="29"/>
      <c r="F861" s="25"/>
    </row>
    <row r="862" spans="5:6" ht="15.75" customHeight="1">
      <c r="E862" s="29"/>
      <c r="F862" s="25"/>
    </row>
    <row r="863" spans="5:6" ht="15.75" customHeight="1">
      <c r="E863" s="29"/>
      <c r="F863" s="25"/>
    </row>
    <row r="864" spans="5:6" ht="15.75" customHeight="1">
      <c r="E864" s="29"/>
      <c r="F864" s="25"/>
    </row>
    <row r="865" spans="5:6" ht="15.75" customHeight="1">
      <c r="E865" s="29"/>
      <c r="F865" s="25"/>
    </row>
    <row r="866" spans="5:6" ht="15.75" customHeight="1">
      <c r="E866" s="29"/>
      <c r="F866" s="25"/>
    </row>
    <row r="867" spans="5:6" ht="15.75" customHeight="1">
      <c r="E867" s="29"/>
      <c r="F867" s="25"/>
    </row>
    <row r="868" spans="5:6" ht="15.75" customHeight="1">
      <c r="E868" s="29"/>
      <c r="F868" s="25"/>
    </row>
    <row r="869" spans="5:6" ht="15.75" customHeight="1">
      <c r="E869" s="29"/>
      <c r="F869" s="25"/>
    </row>
    <row r="870" spans="5:6" ht="15.75" customHeight="1">
      <c r="E870" s="29"/>
      <c r="F870" s="25"/>
    </row>
    <row r="871" spans="5:6" ht="15.75" customHeight="1">
      <c r="E871" s="29"/>
      <c r="F871" s="25"/>
    </row>
    <row r="872" spans="5:6" ht="15.75" customHeight="1">
      <c r="E872" s="29"/>
      <c r="F872" s="25"/>
    </row>
    <row r="873" spans="5:6" ht="15.75" customHeight="1">
      <c r="E873" s="29"/>
      <c r="F873" s="25"/>
    </row>
    <row r="874" spans="5:6" ht="15.75" customHeight="1">
      <c r="E874" s="29"/>
      <c r="F874" s="25"/>
    </row>
    <row r="875" spans="5:6" ht="15.75" customHeight="1">
      <c r="E875" s="29"/>
      <c r="F875" s="25"/>
    </row>
    <row r="876" spans="5:6" ht="15.75" customHeight="1">
      <c r="E876" s="29"/>
      <c r="F876" s="25"/>
    </row>
    <row r="877" spans="5:6" ht="15.75" customHeight="1">
      <c r="E877" s="29"/>
      <c r="F877" s="25"/>
    </row>
    <row r="878" spans="5:6" ht="15.75" customHeight="1">
      <c r="E878" s="29"/>
      <c r="F878" s="25"/>
    </row>
    <row r="879" spans="5:6" ht="15.75" customHeight="1">
      <c r="E879" s="29"/>
      <c r="F879" s="25"/>
    </row>
    <row r="880" spans="5:6" ht="15.75" customHeight="1">
      <c r="E880" s="29"/>
      <c r="F880" s="25"/>
    </row>
    <row r="881" spans="5:6" ht="15.75" customHeight="1">
      <c r="E881" s="25"/>
      <c r="F881" s="25"/>
    </row>
    <row r="882" spans="5:6" ht="15.75" customHeight="1">
      <c r="E882" s="25"/>
      <c r="F882" s="25"/>
    </row>
    <row r="883" spans="5:6" ht="15.75" customHeight="1">
      <c r="E883" s="25"/>
      <c r="F883" s="25"/>
    </row>
    <row r="884" spans="5:6" ht="15.75" customHeight="1">
      <c r="E884" s="25"/>
      <c r="F884" s="25"/>
    </row>
    <row r="885" spans="5:6" ht="15.75" customHeight="1">
      <c r="E885" s="25"/>
      <c r="F885" s="25"/>
    </row>
    <row r="886" spans="5:6" ht="15.75" customHeight="1">
      <c r="E886" s="25"/>
      <c r="F886" s="25"/>
    </row>
    <row r="887" spans="5:6" ht="15.75" customHeight="1">
      <c r="E887" s="25"/>
      <c r="F887" s="25"/>
    </row>
    <row r="888" spans="5:6" ht="15.75" customHeight="1">
      <c r="E888" s="25"/>
      <c r="F888" s="25"/>
    </row>
    <row r="889" spans="5:6" ht="15.75" customHeight="1">
      <c r="E889" s="25"/>
      <c r="F889" s="25"/>
    </row>
    <row r="890" spans="5:6" ht="15.75" customHeight="1">
      <c r="E890" s="25"/>
      <c r="F890" s="25"/>
    </row>
    <row r="891" spans="5:6" ht="15.75" customHeight="1">
      <c r="E891" s="25"/>
      <c r="F891" s="25"/>
    </row>
    <row r="892" spans="5:6" ht="15.75" customHeight="1">
      <c r="E892" s="25"/>
      <c r="F892" s="25"/>
    </row>
    <row r="893" spans="5:6" ht="15.75" customHeight="1">
      <c r="E893" s="25"/>
      <c r="F893" s="25"/>
    </row>
    <row r="894" spans="5:6" ht="15.75" customHeight="1">
      <c r="E894" s="25"/>
      <c r="F894" s="25"/>
    </row>
    <row r="895" spans="5:6" ht="15.75" customHeight="1">
      <c r="E895" s="25"/>
      <c r="F895" s="25"/>
    </row>
    <row r="896" spans="5:6" ht="15.75" customHeight="1">
      <c r="E896" s="25"/>
      <c r="F896" s="25"/>
    </row>
    <row r="897" spans="5:6" ht="15.75" customHeight="1">
      <c r="E897" s="25"/>
      <c r="F897" s="25"/>
    </row>
    <row r="898" spans="5:6" ht="15.75" customHeight="1">
      <c r="E898" s="25"/>
      <c r="F898" s="25"/>
    </row>
    <row r="899" spans="5:6" ht="15.75" customHeight="1">
      <c r="E899" s="25"/>
      <c r="F899" s="25"/>
    </row>
    <row r="900" spans="5:6" ht="15.75" customHeight="1">
      <c r="E900" s="25"/>
      <c r="F900" s="25"/>
    </row>
    <row r="901" spans="5:6" ht="15.75" customHeight="1">
      <c r="E901" s="21"/>
      <c r="F901" s="25"/>
    </row>
    <row r="902" spans="5:6" ht="15.75" customHeight="1">
      <c r="E902" s="22"/>
      <c r="F902" s="25"/>
    </row>
    <row r="903" spans="5:6" ht="15.75" customHeight="1">
      <c r="E903" s="22" t="s">
        <v>5</v>
      </c>
      <c r="F903" s="25"/>
    </row>
    <row r="904" spans="5:6" ht="15.75" customHeight="1">
      <c r="E904" s="29"/>
      <c r="F904" s="25"/>
    </row>
    <row r="905" spans="5:6" ht="15.75" customHeight="1">
      <c r="E905" s="29"/>
      <c r="F905" s="25"/>
    </row>
    <row r="906" spans="5:6" ht="15.75" customHeight="1">
      <c r="E906" s="29"/>
      <c r="F906" s="25"/>
    </row>
    <row r="907" spans="5:6" ht="15.75" customHeight="1">
      <c r="E907" s="29"/>
      <c r="F907" s="25"/>
    </row>
    <row r="908" spans="5:6" ht="15.75" customHeight="1">
      <c r="E908" s="29"/>
      <c r="F908" s="25"/>
    </row>
    <row r="909" spans="5:6" ht="15.75" customHeight="1">
      <c r="E909" s="29"/>
      <c r="F909" s="25"/>
    </row>
    <row r="910" spans="5:6" ht="15.75" customHeight="1">
      <c r="E910" s="29"/>
      <c r="F910" s="25"/>
    </row>
    <row r="911" spans="5:6" ht="15.75" customHeight="1">
      <c r="E911" s="29"/>
      <c r="F911" s="25"/>
    </row>
    <row r="912" spans="5:6" ht="15.75" customHeight="1">
      <c r="E912" s="29"/>
      <c r="F912" s="25"/>
    </row>
    <row r="913" spans="5:6" ht="15.75" customHeight="1">
      <c r="E913" s="29"/>
      <c r="F913" s="25"/>
    </row>
    <row r="914" spans="5:6" ht="15.75" customHeight="1">
      <c r="E914" s="29"/>
      <c r="F914" s="25"/>
    </row>
    <row r="915" spans="5:6" ht="15.75" customHeight="1">
      <c r="E915" s="29"/>
      <c r="F915" s="25"/>
    </row>
    <row r="916" spans="5:6" ht="15.75" customHeight="1">
      <c r="E916" s="29"/>
      <c r="F916" s="25"/>
    </row>
    <row r="917" spans="5:6" ht="15.75" customHeight="1">
      <c r="E917" s="29"/>
      <c r="F917" s="25"/>
    </row>
    <row r="918" spans="5:6" ht="15.75" customHeight="1">
      <c r="E918" s="29"/>
      <c r="F918" s="25"/>
    </row>
    <row r="919" spans="5:6" ht="15.75" customHeight="1">
      <c r="E919" s="29"/>
      <c r="F919" s="25"/>
    </row>
    <row r="920" spans="5:6" ht="15.75" customHeight="1">
      <c r="E920" s="29"/>
      <c r="F920" s="25"/>
    </row>
    <row r="921" spans="5:6" ht="15.75" customHeight="1">
      <c r="E921" s="29"/>
      <c r="F921" s="25"/>
    </row>
    <row r="922" spans="5:6" ht="15.75" customHeight="1">
      <c r="E922" s="29"/>
      <c r="F922" s="25"/>
    </row>
    <row r="923" spans="5:6" ht="15.75" customHeight="1">
      <c r="E923" s="29"/>
      <c r="F923" s="25"/>
    </row>
    <row r="924" spans="5:6" ht="15.75" customHeight="1">
      <c r="E924" s="29"/>
      <c r="F924" s="25"/>
    </row>
    <row r="925" spans="5:6" ht="15.75" customHeight="1">
      <c r="E925" s="29"/>
      <c r="F925" s="25"/>
    </row>
    <row r="926" spans="5:6" ht="15.75" customHeight="1">
      <c r="E926" s="29"/>
      <c r="F926" s="25"/>
    </row>
    <row r="927" spans="5:6" ht="15.75" customHeight="1">
      <c r="E927" s="29"/>
      <c r="F927" s="25"/>
    </row>
    <row r="928" spans="5:6" ht="15.75" customHeight="1">
      <c r="E928" s="29"/>
      <c r="F928" s="25"/>
    </row>
    <row r="929" spans="5:6" ht="15.75" customHeight="1">
      <c r="E929" s="29"/>
      <c r="F929" s="25"/>
    </row>
    <row r="930" spans="5:6" ht="15.75" customHeight="1">
      <c r="E930" s="29"/>
      <c r="F930" s="25"/>
    </row>
    <row r="931" spans="5:6" ht="15.75" customHeight="1">
      <c r="E931" s="25"/>
      <c r="F931" s="25"/>
    </row>
    <row r="932" spans="5:6" ht="15.75" customHeight="1">
      <c r="E932" s="25"/>
      <c r="F932" s="25"/>
    </row>
    <row r="933" spans="5:6" ht="15.75" customHeight="1">
      <c r="E933" s="25"/>
      <c r="F933" s="25"/>
    </row>
    <row r="934" spans="5:6" ht="15.75" customHeight="1">
      <c r="E934" s="25"/>
      <c r="F934" s="25"/>
    </row>
    <row r="935" spans="5:6" ht="15.75" customHeight="1">
      <c r="E935" s="25"/>
      <c r="F935" s="25"/>
    </row>
    <row r="936" spans="5:6" ht="15.75" customHeight="1">
      <c r="E936" s="25"/>
      <c r="F936" s="25"/>
    </row>
    <row r="937" spans="5:6" ht="15.75" customHeight="1">
      <c r="E937" s="25"/>
      <c r="F937" s="25"/>
    </row>
    <row r="938" spans="5:6" ht="15.75" customHeight="1">
      <c r="E938" s="25"/>
      <c r="F938" s="25"/>
    </row>
    <row r="939" spans="5:6" ht="15.75" customHeight="1">
      <c r="E939" s="25"/>
      <c r="F939" s="25"/>
    </row>
    <row r="940" spans="5:6" ht="15.75" customHeight="1">
      <c r="E940" s="25"/>
      <c r="F940" s="25"/>
    </row>
    <row r="941" spans="5:6" ht="15.75" customHeight="1">
      <c r="E941" s="25"/>
      <c r="F941" s="25"/>
    </row>
    <row r="942" spans="5:6" ht="15.75" customHeight="1">
      <c r="E942" s="25"/>
      <c r="F942" s="25"/>
    </row>
    <row r="943" spans="5:6" ht="15.75" customHeight="1">
      <c r="E943" s="25"/>
      <c r="F943" s="25"/>
    </row>
    <row r="944" spans="5:6" ht="15.75" customHeight="1">
      <c r="E944" s="25"/>
      <c r="F944" s="25"/>
    </row>
    <row r="945" spans="5:6" ht="15.75" customHeight="1">
      <c r="E945" s="25"/>
      <c r="F945" s="25"/>
    </row>
    <row r="946" spans="5:6" ht="15.75" customHeight="1">
      <c r="E946" s="25"/>
      <c r="F946" s="25"/>
    </row>
    <row r="947" spans="5:6" ht="15.75" customHeight="1">
      <c r="E947" s="25"/>
      <c r="F947" s="25"/>
    </row>
    <row r="948" spans="5:6" ht="15.75" customHeight="1">
      <c r="E948" s="25"/>
      <c r="F948" s="25"/>
    </row>
    <row r="949" spans="5:6" ht="15.75" customHeight="1">
      <c r="E949" s="25"/>
      <c r="F949" s="25"/>
    </row>
    <row r="950" spans="5:6" ht="15.75" customHeight="1">
      <c r="E950" s="25"/>
      <c r="F950" s="2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A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 E904:E930</xm:sqref>
        </x14:dataValidation>
        <x14:dataValidation type="list" allowBlank="1" showErrorMessage="1" xr:uid="{00000000-0002-0000-0A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A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D949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/>
  <cols>
    <col min="1" max="1" width="5.5" customWidth="1"/>
    <col min="2" max="2" width="24.5" customWidth="1"/>
    <col min="3" max="3" width="20.5" customWidth="1"/>
    <col min="4" max="4" width="11.33203125" customWidth="1"/>
    <col min="5" max="5" width="45.33203125" customWidth="1"/>
    <col min="6" max="7" width="38.33203125" customWidth="1"/>
    <col min="8" max="8" width="11.5" customWidth="1"/>
    <col min="9" max="10" width="14.33203125" customWidth="1"/>
    <col min="11" max="11" width="27.6640625" customWidth="1"/>
    <col min="12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47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11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  <c r="N4" s="7" t="e">
        <f t="array" aca="1" ref="N4" ca="1">INDEX(códigos!E:E,MATCH(D4,códigos!F:F,0))</f>
        <v>#N/A</v>
      </c>
    </row>
    <row r="5" spans="1:30" ht="15.75" customHeight="1">
      <c r="A5" s="25">
        <v>11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7" t="e">
        <f t="array" aca="1" ref="N5" ca="1">INDEX(códigos!E:E,MATCH(D5,códigos!F:F,0))</f>
        <v>#N/A</v>
      </c>
    </row>
    <row r="6" spans="1:30" ht="15.75" customHeight="1">
      <c r="A6" s="25">
        <v>11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7" t="e">
        <f t="array" aca="1" ref="N6" ca="1">INDEX(códigos!E:E,MATCH(D6,códigos!F:F,0))</f>
        <v>#N/A</v>
      </c>
    </row>
    <row r="7" spans="1:30" ht="15.75" customHeight="1">
      <c r="A7" s="25">
        <v>11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  <c r="N7" s="7" t="e">
        <f t="array" aca="1" ref="N7" ca="1">INDEX(códigos!E:E,MATCH(D7,códigos!F:F,0))</f>
        <v>#N/A</v>
      </c>
    </row>
    <row r="8" spans="1:30" ht="15.75" customHeight="1">
      <c r="A8" s="25">
        <v>11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7" t="e">
        <f t="array" aca="1" ref="N8" ca="1">INDEX(códigos!E:E,MATCH(D8,códigos!F:F,0))</f>
        <v>#N/A</v>
      </c>
    </row>
    <row r="9" spans="1:30" ht="15.75" customHeight="1">
      <c r="A9" s="29">
        <v>10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</row>
    <row r="10" spans="1:30" ht="15.75" customHeight="1">
      <c r="A10" s="29">
        <v>10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</row>
    <row r="11" spans="1:30" ht="15.75" customHeight="1">
      <c r="A11" s="25">
        <v>11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7" t="e">
        <f t="array" aca="1" ref="N11" ca="1">INDEX(códigos!E:E,MATCH(D11,códigos!F:F,0))</f>
        <v>#N/A</v>
      </c>
    </row>
    <row r="12" spans="1:30" ht="15.75" customHeight="1">
      <c r="A12" s="29">
        <v>10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</row>
    <row r="13" spans="1:30" ht="15.75" customHeight="1">
      <c r="A13" s="25">
        <v>11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7" t="e">
        <f t="array" aca="1" ref="N13" ca="1">INDEX(códigos!E:E,MATCH(D13,códigos!F:F,0))</f>
        <v>#N/A</v>
      </c>
    </row>
    <row r="14" spans="1:30" ht="15.75" customHeight="1">
      <c r="A14" s="25">
        <v>11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7" t="e">
        <f t="array" aca="1" ref="N14" ca="1">INDEX(códigos!E:E,MATCH(D14,códigos!F:F,0))</f>
        <v>#N/A</v>
      </c>
    </row>
    <row r="15" spans="1:30" ht="15.75" customHeight="1">
      <c r="A15" s="25">
        <v>11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7" t="e">
        <f t="array" aca="1" ref="N15" ca="1">INDEX(códigos!E:E,MATCH(D15,códigos!F:F,0))</f>
        <v>#N/A</v>
      </c>
    </row>
    <row r="16" spans="1:30" ht="15.75" customHeight="1">
      <c r="A16" s="25">
        <v>11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  <c r="N16" s="7" t="e">
        <f t="array" aca="1" ref="N16" ca="1">INDEX(códigos!E:E,MATCH(D16,códigos!F:F,0))</f>
        <v>#N/A</v>
      </c>
    </row>
    <row r="17" spans="1:14" ht="15.75" customHeight="1">
      <c r="A17" s="25">
        <v>11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  <c r="N17" s="7" t="e">
        <f t="array" aca="1" ref="N17" ca="1">INDEX(códigos!E:E,MATCH(D17,códigos!F:F,0))</f>
        <v>#N/A</v>
      </c>
    </row>
    <row r="18" spans="1:14" ht="15.75" customHeight="1">
      <c r="A18" s="25">
        <v>11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  <c r="N18" s="7" t="e">
        <f t="array" aca="1" ref="N18" ca="1">INDEX(códigos!E:E,MATCH(D18,códigos!F:F,0))</f>
        <v>#N/A</v>
      </c>
    </row>
    <row r="19" spans="1:14" ht="15.75" customHeight="1">
      <c r="A19" s="25">
        <v>11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  <c r="N19" s="7" t="e">
        <f t="array" aca="1" ref="N19" ca="1">INDEX(códigos!E:E,MATCH(D19,códigos!F:F,0))</f>
        <v>#N/A</v>
      </c>
    </row>
    <row r="20" spans="1:14" ht="15.75" customHeight="1">
      <c r="A20" s="25">
        <v>11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  <c r="N20" s="7" t="e">
        <f t="array" aca="1" ref="N20" ca="1">INDEX(códigos!E:E,MATCH(D20,códigos!F:F,0))</f>
        <v>#N/A</v>
      </c>
    </row>
    <row r="21" spans="1:14" ht="15.75" customHeight="1">
      <c r="A21" s="25">
        <v>11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</row>
    <row r="22" spans="1:14" ht="15.75" customHeight="1">
      <c r="A22" s="29">
        <v>11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  <c r="N22" s="7" t="e">
        <f t="array" aca="1" ref="N22" ca="1">INDEX(códigos!E:E,MATCH(D22,códigos!F:F,0))</f>
        <v>#N/A</v>
      </c>
    </row>
    <row r="23" spans="1:14" ht="15.75" customHeight="1">
      <c r="A23" s="29">
        <v>11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</row>
    <row r="24" spans="1:14" ht="15.75" customHeight="1">
      <c r="A24" s="29">
        <v>11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7" t="e">
        <f t="array" aca="1" ref="N24" ca="1">INDEX(códigos!E:E,MATCH(D24,códigos!F:F,0))</f>
        <v>#N/A</v>
      </c>
    </row>
    <row r="25" spans="1:14" ht="15.75" customHeight="1">
      <c r="A25" s="29">
        <v>11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7" t="e">
        <f t="array" aca="1" ref="N25" ca="1">INDEX(códigos!E:E,MATCH(D25,códigos!F:F,0))</f>
        <v>#N/A</v>
      </c>
    </row>
    <row r="26" spans="1:14">
      <c r="A26" s="29">
        <v>11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</row>
    <row r="27" spans="1:14" ht="15.75" customHeight="1">
      <c r="A27" s="29">
        <v>11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</row>
    <row r="28" spans="1:14" ht="15.75" customHeight="1">
      <c r="A28" s="29">
        <v>11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</row>
    <row r="29" spans="1:14" ht="15.75" customHeight="1">
      <c r="A29" s="29">
        <v>11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</row>
    <row r="30" spans="1:14" ht="15.75" customHeight="1">
      <c r="A30" s="29">
        <v>11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</row>
    <row r="31" spans="1:14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14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</row>
    <row r="178" spans="1:11" ht="15.75" customHeight="1">
      <c r="A178" s="25"/>
      <c r="B178" s="25"/>
      <c r="D178" s="25"/>
      <c r="E178" s="29"/>
      <c r="F178" s="25"/>
      <c r="G178" s="25"/>
      <c r="H178" s="25"/>
      <c r="I178" s="25"/>
      <c r="J178" s="25"/>
      <c r="K178" s="25"/>
    </row>
    <row r="179" spans="1:11" ht="15.75" customHeight="1">
      <c r="A179" s="25"/>
      <c r="B179" s="25"/>
      <c r="D179" s="25"/>
      <c r="E179" s="29"/>
      <c r="F179" s="25"/>
      <c r="G179" s="25"/>
      <c r="H179" s="25"/>
      <c r="I179" s="25"/>
      <c r="J179" s="25"/>
      <c r="K179" s="25"/>
    </row>
    <row r="180" spans="1:11" ht="15.75" customHeight="1">
      <c r="A180" s="25"/>
      <c r="B180" s="25"/>
      <c r="D180" s="25"/>
      <c r="E180" s="29"/>
      <c r="F180" s="25"/>
      <c r="G180" s="25"/>
      <c r="H180" s="25"/>
      <c r="I180" s="25"/>
      <c r="J180" s="25"/>
      <c r="K180" s="25"/>
    </row>
    <row r="181" spans="1:11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</row>
    <row r="182" spans="1:11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</row>
    <row r="183" spans="1:11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</row>
    <row r="184" spans="1:11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</row>
    <row r="185" spans="1:11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</row>
    <row r="186" spans="1:11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</row>
    <row r="187" spans="1:11" ht="15.7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</row>
    <row r="188" spans="1:11" ht="15.75" customHeight="1">
      <c r="A188" s="25"/>
      <c r="B188" s="25"/>
      <c r="D188" s="25"/>
      <c r="E188" s="25"/>
      <c r="F188" s="25"/>
      <c r="G188" s="25"/>
      <c r="H188" s="25"/>
      <c r="I188" s="25"/>
      <c r="J188" s="25"/>
      <c r="K188" s="25"/>
    </row>
    <row r="189" spans="1:11" ht="15.75" customHeight="1">
      <c r="A189" s="25"/>
      <c r="B189" s="25"/>
      <c r="D189" s="25"/>
      <c r="E189" s="25"/>
      <c r="F189" s="25"/>
      <c r="G189" s="25"/>
      <c r="H189" s="25"/>
      <c r="I189" s="25"/>
      <c r="J189" s="25"/>
      <c r="K189" s="25"/>
    </row>
    <row r="190" spans="1:11" ht="15.75" customHeight="1">
      <c r="A190" s="25"/>
      <c r="B190" s="25"/>
      <c r="D190" s="25"/>
      <c r="E190" s="25"/>
      <c r="F190" s="25"/>
      <c r="G190" s="25"/>
      <c r="H190" s="25"/>
      <c r="I190" s="25"/>
      <c r="J190" s="25"/>
      <c r="K190" s="25"/>
    </row>
    <row r="191" spans="1:11" ht="15.75" customHeight="1">
      <c r="E191" s="25"/>
    </row>
    <row r="192" spans="1:11" ht="15.75" customHeight="1">
      <c r="E192" s="25"/>
    </row>
    <row r="193" spans="5:5" ht="15.75" customHeight="1">
      <c r="E193" s="25"/>
    </row>
    <row r="194" spans="5:5" ht="15.75" customHeight="1">
      <c r="E194" s="25"/>
    </row>
    <row r="195" spans="5:5" ht="15.75" customHeight="1">
      <c r="E195" s="25"/>
    </row>
    <row r="196" spans="5:5" ht="15.75" customHeight="1">
      <c r="E196" s="25"/>
    </row>
    <row r="197" spans="5:5" ht="15.75" customHeight="1">
      <c r="E197" s="25"/>
    </row>
    <row r="198" spans="5:5" ht="15.75" customHeight="1">
      <c r="E198" s="25"/>
    </row>
    <row r="199" spans="5:5" ht="15.75" customHeight="1">
      <c r="E199" s="25"/>
    </row>
    <row r="200" spans="5:5" ht="15.75" customHeight="1">
      <c r="E200" s="25"/>
    </row>
    <row r="201" spans="5:5" ht="15.75" customHeight="1">
      <c r="E201" s="21"/>
    </row>
    <row r="202" spans="5:5" ht="15.75" customHeight="1">
      <c r="E202" s="22"/>
    </row>
    <row r="203" spans="5:5" ht="15.75" customHeight="1">
      <c r="E203" s="22" t="s">
        <v>5</v>
      </c>
    </row>
    <row r="204" spans="5:5" ht="15.75" customHeight="1">
      <c r="E204" s="29"/>
    </row>
    <row r="205" spans="5:5" ht="15.75" customHeight="1">
      <c r="E205" s="29"/>
    </row>
    <row r="206" spans="5:5" ht="15.75" customHeight="1">
      <c r="E206" s="29"/>
    </row>
    <row r="207" spans="5:5" ht="15.75" customHeight="1">
      <c r="E207" s="29"/>
    </row>
    <row r="208" spans="5:5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9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5"/>
    </row>
    <row r="251" spans="5:5" ht="15.75" customHeight="1">
      <c r="E251" s="21"/>
    </row>
    <row r="252" spans="5:5" ht="15.75" customHeight="1">
      <c r="E252" s="22"/>
    </row>
    <row r="253" spans="5:5" ht="15.75" customHeight="1">
      <c r="E253" s="22" t="s">
        <v>5</v>
      </c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9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5"/>
    </row>
    <row r="301" spans="5:5" ht="15.75" customHeight="1">
      <c r="E301" s="21"/>
    </row>
    <row r="302" spans="5:5" ht="15.75" customHeight="1">
      <c r="E302" s="22"/>
    </row>
    <row r="303" spans="5:5" ht="15.75" customHeight="1">
      <c r="E303" s="22" t="s">
        <v>5</v>
      </c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9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5"/>
    </row>
    <row r="351" spans="5:5" ht="15.75" customHeight="1">
      <c r="E351" s="21"/>
    </row>
    <row r="352" spans="5:5" ht="15.75" customHeight="1">
      <c r="E352" s="22"/>
    </row>
    <row r="353" spans="5:5" ht="15.75" customHeight="1">
      <c r="E353" s="22" t="s">
        <v>5</v>
      </c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9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5"/>
    </row>
    <row r="401" spans="5:5" ht="15.75" customHeight="1">
      <c r="E401" s="21"/>
    </row>
    <row r="402" spans="5:5" ht="15.75" customHeight="1">
      <c r="E402" s="22"/>
    </row>
    <row r="403" spans="5:5" ht="15.75" customHeight="1">
      <c r="E403" s="22" t="s">
        <v>5</v>
      </c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9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5"/>
    </row>
    <row r="451" spans="5:5" ht="15.75" customHeight="1">
      <c r="E451" s="21"/>
    </row>
    <row r="452" spans="5:5" ht="15.75" customHeight="1">
      <c r="E452" s="22"/>
    </row>
    <row r="453" spans="5:5" ht="15.75" customHeight="1">
      <c r="E453" s="22" t="s">
        <v>5</v>
      </c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9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5"/>
    </row>
    <row r="501" spans="5:5" ht="15.75" customHeight="1">
      <c r="E501" s="21"/>
    </row>
    <row r="502" spans="5:5" ht="15.75" customHeight="1">
      <c r="E502" s="22"/>
    </row>
    <row r="503" spans="5:5" ht="15.75" customHeight="1">
      <c r="E503" s="22" t="s">
        <v>5</v>
      </c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9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5"/>
    </row>
    <row r="551" spans="5:5" ht="15.75" customHeight="1">
      <c r="E551" s="21"/>
    </row>
    <row r="552" spans="5:5" ht="15.75" customHeight="1">
      <c r="E552" s="22"/>
    </row>
    <row r="553" spans="5:5" ht="15.75" customHeight="1">
      <c r="E553" s="22" t="s">
        <v>5</v>
      </c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9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5"/>
    </row>
    <row r="601" spans="5:5" ht="15.75" customHeight="1">
      <c r="E601" s="21"/>
    </row>
    <row r="602" spans="5:5" ht="15.75" customHeight="1">
      <c r="E602" s="22"/>
    </row>
    <row r="603" spans="5:5" ht="15.75" customHeight="1">
      <c r="E603" s="22" t="s">
        <v>5</v>
      </c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9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5"/>
    </row>
    <row r="651" spans="5:5" ht="15.75" customHeight="1">
      <c r="E651" s="21"/>
    </row>
    <row r="652" spans="5:5" ht="15.75" customHeight="1">
      <c r="E652" s="22"/>
    </row>
    <row r="653" spans="5:5" ht="15.75" customHeight="1">
      <c r="E653" s="22" t="s">
        <v>5</v>
      </c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9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5"/>
    </row>
    <row r="701" spans="5:5" ht="15.75" customHeight="1">
      <c r="E701" s="21"/>
    </row>
    <row r="702" spans="5:5" ht="15.75" customHeight="1">
      <c r="E702" s="22"/>
    </row>
    <row r="703" spans="5:5" ht="15.75" customHeight="1">
      <c r="E703" s="22" t="s">
        <v>5</v>
      </c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9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5"/>
    </row>
    <row r="751" spans="5:5" ht="15.75" customHeight="1">
      <c r="E751" s="21"/>
    </row>
    <row r="752" spans="5:5" ht="15.75" customHeight="1">
      <c r="E752" s="22"/>
    </row>
    <row r="753" spans="5:5" ht="15.75" customHeight="1">
      <c r="E753" s="22" t="s">
        <v>5</v>
      </c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9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5"/>
    </row>
    <row r="801" spans="5:5" ht="15.75" customHeight="1">
      <c r="E801" s="21"/>
    </row>
    <row r="802" spans="5:5" ht="15.75" customHeight="1">
      <c r="E802" s="22"/>
    </row>
    <row r="803" spans="5:5" ht="15.75" customHeight="1">
      <c r="E803" s="22" t="s">
        <v>5</v>
      </c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9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5"/>
    </row>
    <row r="851" spans="5:5" ht="15.75" customHeight="1">
      <c r="E851" s="21"/>
    </row>
    <row r="852" spans="5:5" ht="15.75" customHeight="1">
      <c r="E852" s="22"/>
    </row>
    <row r="853" spans="5:5" ht="15.75" customHeight="1">
      <c r="E853" s="22" t="s">
        <v>5</v>
      </c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9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5"/>
    </row>
    <row r="901" spans="5:5" ht="15.75" customHeight="1"/>
    <row r="902" spans="5:5" ht="15.75" customHeight="1"/>
    <row r="903" spans="5:5" ht="15.75" customHeight="1"/>
    <row r="904" spans="5:5" ht="15.75" customHeight="1"/>
    <row r="905" spans="5:5" ht="15.75" customHeight="1"/>
    <row r="906" spans="5:5" ht="15.75" customHeight="1"/>
    <row r="907" spans="5:5" ht="15.75" customHeight="1"/>
    <row r="908" spans="5:5" ht="15.75" customHeight="1"/>
    <row r="909" spans="5:5" ht="15.75" customHeight="1"/>
    <row r="910" spans="5:5" ht="15.75" customHeight="1"/>
    <row r="911" spans="5:5" ht="15.75" customHeight="1"/>
    <row r="912" spans="5:5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B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</xm:sqref>
        </x14:dataValidation>
        <x14:dataValidation type="list" allowBlank="1" showErrorMessage="1" xr:uid="{00000000-0002-0000-0B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B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947"/>
  <sheetViews>
    <sheetView workbookViewId="0"/>
  </sheetViews>
  <sheetFormatPr baseColWidth="10" defaultColWidth="14.5" defaultRowHeight="15" customHeight="1"/>
  <cols>
    <col min="1" max="1" width="5.5" customWidth="1"/>
    <col min="2" max="2" width="36.83203125" customWidth="1"/>
    <col min="3" max="3" width="20.5" customWidth="1"/>
    <col min="4" max="4" width="11.33203125" customWidth="1"/>
    <col min="5" max="5" width="24.33203125" customWidth="1"/>
    <col min="6" max="6" width="38.33203125" customWidth="1"/>
    <col min="7" max="7" width="32.5" customWidth="1"/>
    <col min="8" max="8" width="11.5" customWidth="1"/>
    <col min="9" max="10" width="14.33203125" customWidth="1"/>
    <col min="11" max="11" width="27.6640625" customWidth="1"/>
    <col min="12" max="12" width="24.33203125" customWidth="1"/>
    <col min="13" max="13" width="15.5" customWidth="1"/>
    <col min="14" max="14" width="23.83203125" customWidth="1"/>
    <col min="15" max="15" width="12.1640625" customWidth="1"/>
    <col min="16" max="16" width="18.83203125" customWidth="1"/>
    <col min="17" max="17" width="12.33203125" customWidth="1"/>
    <col min="18" max="18" width="15.6640625" customWidth="1"/>
    <col min="19" max="20" width="10.6640625" customWidth="1"/>
    <col min="21" max="21" width="12.5" customWidth="1"/>
    <col min="22" max="30" width="10.6640625" customWidth="1"/>
  </cols>
  <sheetData>
    <row r="1" spans="1:30" ht="19.5" customHeight="1">
      <c r="A1" s="21"/>
      <c r="B1" s="21" t="s">
        <v>15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 t="s">
        <v>14</v>
      </c>
      <c r="V1" s="21"/>
      <c r="W1" s="21"/>
      <c r="X1" s="21"/>
      <c r="Y1" s="21"/>
      <c r="Z1" s="21"/>
      <c r="AA1" s="21"/>
      <c r="AB1" s="21"/>
      <c r="AC1" s="21"/>
      <c r="AD1" s="21"/>
    </row>
    <row r="2" spans="1:30" ht="15.75" customHeight="1">
      <c r="A2" s="22"/>
      <c r="B2" s="22"/>
      <c r="C2" s="23"/>
      <c r="D2" s="22"/>
      <c r="E2" s="22"/>
      <c r="F2" s="22"/>
      <c r="G2" s="22"/>
      <c r="H2" s="22"/>
      <c r="I2" s="22"/>
      <c r="J2" s="22"/>
      <c r="K2" s="22"/>
      <c r="L2" s="23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spans="1:30" ht="15.75" customHeight="1">
      <c r="A3" s="22" t="s">
        <v>1</v>
      </c>
      <c r="B3" s="22" t="s">
        <v>2</v>
      </c>
      <c r="C3" s="23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5" t="s">
        <v>16</v>
      </c>
      <c r="J3" s="22" t="s">
        <v>10</v>
      </c>
      <c r="K3" s="22" t="s">
        <v>11</v>
      </c>
      <c r="L3" s="23" t="s">
        <v>12</v>
      </c>
      <c r="M3" s="5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spans="1:30" ht="15.75" customHeight="1">
      <c r="A4" s="25">
        <v>12</v>
      </c>
      <c r="B4" s="26" t="str">
        <f>IF($E4="","",VLOOKUP(D4,códigos!$F:$G,2,FALSE))</f>
        <v/>
      </c>
      <c r="C4" s="27" t="s">
        <v>139</v>
      </c>
      <c r="D4" s="28" t="str">
        <f>IF(E4="","",VLOOKUP($E4,códigos!$E:$F,2,FALSE))</f>
        <v/>
      </c>
      <c r="E4" s="29"/>
      <c r="F4" s="25"/>
      <c r="G4" s="29"/>
      <c r="H4" s="30"/>
      <c r="I4" s="29"/>
      <c r="J4" s="29"/>
      <c r="K4" s="26" t="str">
        <f>IF($C4="","",VLOOKUP(C4,códigos!$B:$C,2,FALSE))</f>
        <v>Empresa</v>
      </c>
      <c r="M4" s="32"/>
    </row>
    <row r="5" spans="1:30" ht="15.75" customHeight="1">
      <c r="A5" s="25">
        <v>12</v>
      </c>
      <c r="B5" s="26" t="str">
        <f>IF($E5="","",VLOOKUP(D5,códigos!$F:$G,2,FALSE))</f>
        <v/>
      </c>
      <c r="C5" s="27"/>
      <c r="D5" s="28" t="str">
        <f>IF(E5="","",VLOOKUP($E5,códigos!$E:$F,2,FALSE))</f>
        <v/>
      </c>
      <c r="E5" s="29"/>
      <c r="F5" s="29"/>
      <c r="G5" s="29"/>
      <c r="H5" s="31"/>
      <c r="I5" s="29"/>
      <c r="J5" s="29"/>
      <c r="K5" s="26" t="str">
        <f>IF($C5="","",VLOOKUP(C5,códigos!$B:$C,2,FALSE))</f>
        <v/>
      </c>
      <c r="L5" s="27"/>
      <c r="M5" s="33"/>
      <c r="N5" s="7" t="e">
        <f t="array" aca="1" ref="N5" ca="1">INDEX(códigos!E:E,MATCH(D5,códigos!F:F,0))</f>
        <v>#N/A</v>
      </c>
    </row>
    <row r="6" spans="1:30" ht="15.75" customHeight="1">
      <c r="A6" s="25">
        <v>12</v>
      </c>
      <c r="B6" s="26" t="str">
        <f>IF($E6="","",VLOOKUP(D6,códigos!$F:$G,2,FALSE))</f>
        <v/>
      </c>
      <c r="C6" s="27"/>
      <c r="D6" s="28" t="str">
        <f>IF(E6="","",VLOOKUP($E6,códigos!$E:$F,2,FALSE))</f>
        <v/>
      </c>
      <c r="E6" s="29"/>
      <c r="F6" s="29"/>
      <c r="G6" s="29"/>
      <c r="H6" s="31"/>
      <c r="I6" s="29"/>
      <c r="J6" s="29"/>
      <c r="K6" s="26" t="str">
        <f>IF($C6="","",VLOOKUP(C6,códigos!$B:$C,2,FALSE))</f>
        <v/>
      </c>
      <c r="L6" s="27"/>
      <c r="M6" s="48"/>
      <c r="N6" s="7" t="e">
        <f t="array" aca="1" ref="N6" ca="1">INDEX(códigos!E:E,MATCH(D6,códigos!F:F,0))</f>
        <v>#N/A</v>
      </c>
    </row>
    <row r="7" spans="1:30" ht="15.75" customHeight="1">
      <c r="A7" s="25">
        <v>12</v>
      </c>
      <c r="B7" s="26" t="str">
        <f>IF($E7="","",VLOOKUP(D7,códigos!$F:$G,2,FALSE))</f>
        <v/>
      </c>
      <c r="C7" s="27"/>
      <c r="D7" s="28" t="str">
        <f>IF(E7="","",VLOOKUP($E7,códigos!$E:$F,2,FALSE))</f>
        <v/>
      </c>
      <c r="E7" s="29"/>
      <c r="F7" s="25"/>
      <c r="G7" s="29"/>
      <c r="H7" s="30"/>
      <c r="I7" s="29"/>
      <c r="J7" s="29"/>
      <c r="K7" s="26" t="str">
        <f>IF($C7="","",VLOOKUP(C7,códigos!$B:$C,2,FALSE))</f>
        <v/>
      </c>
      <c r="M7" s="32"/>
    </row>
    <row r="8" spans="1:30" ht="15.75" customHeight="1">
      <c r="A8" s="25">
        <v>12</v>
      </c>
      <c r="B8" s="26" t="str">
        <f>IF($E8="","",VLOOKUP(D8,códigos!$F:$G,2,FALSE))</f>
        <v/>
      </c>
      <c r="C8" s="27"/>
      <c r="D8" s="28" t="str">
        <f>IF(E8="","",VLOOKUP($E8,códigos!$E:$F,2,FALSE))</f>
        <v/>
      </c>
      <c r="E8" s="29"/>
      <c r="F8" s="29"/>
      <c r="G8" s="29"/>
      <c r="H8" s="31"/>
      <c r="I8" s="29"/>
      <c r="J8" s="29"/>
      <c r="K8" s="26" t="str">
        <f>IF($C8="","",VLOOKUP(C8,códigos!$B:$C,2,FALSE))</f>
        <v/>
      </c>
      <c r="L8" s="27"/>
      <c r="M8" s="33"/>
      <c r="N8" s="7" t="e">
        <f t="array" aca="1" ref="N8" ca="1">INDEX(códigos!E:E,MATCH(D8,códigos!F:F,0))</f>
        <v>#N/A</v>
      </c>
    </row>
    <row r="9" spans="1:30" ht="15.75" customHeight="1">
      <c r="A9" s="25">
        <v>12</v>
      </c>
      <c r="B9" s="26" t="str">
        <f>IF($E9="","",VLOOKUP(D9,códigos!$F:$G,2,FALSE))</f>
        <v/>
      </c>
      <c r="C9" s="27"/>
      <c r="D9" s="28" t="str">
        <f>IF(E9="","",VLOOKUP($E9,códigos!$E:$F,2,FALSE))</f>
        <v/>
      </c>
      <c r="E9" s="29"/>
      <c r="F9" s="29"/>
      <c r="G9" s="29"/>
      <c r="H9" s="30"/>
      <c r="I9" s="29"/>
      <c r="J9" s="29"/>
      <c r="K9" s="26" t="str">
        <f>IF($C9="","",VLOOKUP(C9,códigos!$B:$C,2,FALSE))</f>
        <v/>
      </c>
      <c r="L9" s="27"/>
      <c r="M9" s="35"/>
      <c r="N9" s="7" t="e">
        <f t="array" aca="1" ref="N9" ca="1">INDEX(códigos!E:E,MATCH(D9,códigos!F:F,0))</f>
        <v>#N/A</v>
      </c>
    </row>
    <row r="10" spans="1:30" ht="15.75" customHeight="1">
      <c r="A10" s="25">
        <v>12</v>
      </c>
      <c r="B10" s="26" t="str">
        <f>IF($E10="","",VLOOKUP(D10,códigos!$F:$G,2,FALSE))</f>
        <v/>
      </c>
      <c r="C10" s="27"/>
      <c r="D10" s="28" t="str">
        <f>IF(E10="","",VLOOKUP($E10,códigos!$E:$F,2,FALSE))</f>
        <v/>
      </c>
      <c r="E10" s="29"/>
      <c r="F10" s="29"/>
      <c r="G10" s="29"/>
      <c r="H10" s="31"/>
      <c r="I10" s="29"/>
      <c r="J10" s="29"/>
      <c r="K10" s="26" t="str">
        <f>IF($C10="","",VLOOKUP(C10,códigos!$B:$C,2,FALSE))</f>
        <v/>
      </c>
      <c r="L10" s="27"/>
      <c r="M10" s="35"/>
      <c r="N10" s="7" t="e">
        <f t="array" aca="1" ref="N10" ca="1">INDEX(códigos!E:E,MATCH(D10,códigos!F:F,0))</f>
        <v>#N/A</v>
      </c>
    </row>
    <row r="11" spans="1:30" ht="15.75" customHeight="1">
      <c r="A11" s="25">
        <v>12</v>
      </c>
      <c r="B11" s="26" t="str">
        <f>IF($E11="","",VLOOKUP(D11,códigos!$F:$G,2,FALSE))</f>
        <v/>
      </c>
      <c r="C11" s="27"/>
      <c r="D11" s="28" t="str">
        <f>IF(E11="","",VLOOKUP($E11,códigos!$E:$F,2,FALSE))</f>
        <v/>
      </c>
      <c r="E11" s="29"/>
      <c r="F11" s="29"/>
      <c r="G11" s="29"/>
      <c r="H11" s="30"/>
      <c r="I11" s="29"/>
      <c r="J11" s="29"/>
      <c r="K11" s="26" t="str">
        <f>IF($C11="","",VLOOKUP(C11,códigos!$B:$C,2,FALSE))</f>
        <v/>
      </c>
      <c r="L11" s="27"/>
      <c r="M11" s="33"/>
      <c r="N11" s="7" t="e">
        <f t="array" aca="1" ref="N11" ca="1">INDEX(códigos!E:E,MATCH(D11,códigos!F:F,0))</f>
        <v>#N/A</v>
      </c>
    </row>
    <row r="12" spans="1:30" ht="15.75" customHeight="1">
      <c r="A12" s="25">
        <v>12</v>
      </c>
      <c r="B12" s="26" t="str">
        <f>IF($E12="","",VLOOKUP(D12,códigos!$F:$G,2,FALSE))</f>
        <v/>
      </c>
      <c r="C12" s="27"/>
      <c r="D12" s="28" t="str">
        <f>IF(E12="","",VLOOKUP($E12,códigos!$E:$F,2,FALSE))</f>
        <v/>
      </c>
      <c r="E12" s="29"/>
      <c r="F12" s="29"/>
      <c r="G12" s="29"/>
      <c r="H12" s="31"/>
      <c r="I12" s="29"/>
      <c r="J12" s="29"/>
      <c r="K12" s="26" t="str">
        <f>IF($C12="","",VLOOKUP(C12,códigos!$B:$C,2,FALSE))</f>
        <v/>
      </c>
      <c r="L12" s="27"/>
      <c r="M12" s="36"/>
      <c r="N12" s="7" t="e">
        <f t="array" aca="1" ref="N12" ca="1">INDEX(códigos!E:E,MATCH(D12,códigos!F:F,0))</f>
        <v>#N/A</v>
      </c>
    </row>
    <row r="13" spans="1:30" ht="15.75" customHeight="1">
      <c r="A13" s="25">
        <v>12</v>
      </c>
      <c r="B13" s="26" t="str">
        <f>IF($E13="","",VLOOKUP(D13,códigos!$F:$G,2,FALSE))</f>
        <v/>
      </c>
      <c r="C13" s="27"/>
      <c r="D13" s="28" t="str">
        <f>IF(E13="","",VLOOKUP($E13,códigos!$E:$F,2,FALSE))</f>
        <v/>
      </c>
      <c r="E13" s="29"/>
      <c r="F13" s="29"/>
      <c r="G13" s="29"/>
      <c r="H13" s="30"/>
      <c r="I13" s="29"/>
      <c r="J13" s="29"/>
      <c r="K13" s="26" t="str">
        <f>IF($C13="","",VLOOKUP(C13,códigos!$B:$C,2,FALSE))</f>
        <v/>
      </c>
      <c r="L13" s="27"/>
      <c r="M13" s="36"/>
      <c r="N13" s="7" t="e">
        <f t="array" aca="1" ref="N13" ca="1">INDEX(códigos!E:E,MATCH(D13,códigos!F:F,0))</f>
        <v>#N/A</v>
      </c>
    </row>
    <row r="14" spans="1:30" ht="15.75" customHeight="1">
      <c r="A14" s="25">
        <v>12</v>
      </c>
      <c r="B14" s="26" t="str">
        <f>IF($E14="","",VLOOKUP(D14,códigos!$F:$G,2,FALSE))</f>
        <v/>
      </c>
      <c r="C14" s="27"/>
      <c r="D14" s="28" t="str">
        <f>IF(E14="","",VLOOKUP($E14,códigos!$E:$F,2,FALSE))</f>
        <v/>
      </c>
      <c r="E14" s="29"/>
      <c r="F14" s="29"/>
      <c r="G14" s="29"/>
      <c r="H14" s="30"/>
      <c r="I14" s="29"/>
      <c r="J14" s="29"/>
      <c r="K14" s="26" t="str">
        <f>IF($C14="","",VLOOKUP(C14,códigos!$B:$C,2,FALSE))</f>
        <v/>
      </c>
      <c r="L14" s="27"/>
      <c r="M14" s="32"/>
      <c r="N14" s="7" t="e">
        <f t="array" aca="1" ref="N14" ca="1">INDEX(códigos!E:E,MATCH(D14,códigos!F:F,0))</f>
        <v>#N/A</v>
      </c>
    </row>
    <row r="15" spans="1:30" ht="15.75" customHeight="1">
      <c r="A15" s="25">
        <v>12</v>
      </c>
      <c r="B15" s="26" t="str">
        <f>IF($E15="","",VLOOKUP(D15,códigos!$F:$G,2,FALSE))</f>
        <v/>
      </c>
      <c r="C15" s="27"/>
      <c r="D15" s="28" t="str">
        <f>IF(E15="","",VLOOKUP($E15,códigos!$E:$F,2,FALSE))</f>
        <v/>
      </c>
      <c r="E15" s="29"/>
      <c r="F15" s="29"/>
      <c r="G15" s="29"/>
      <c r="H15" s="37"/>
      <c r="I15" s="37"/>
      <c r="J15" s="37"/>
      <c r="K15" s="26" t="str">
        <f>IF($C15="","",VLOOKUP(C15,códigos!$B:$C,2,FALSE))</f>
        <v/>
      </c>
      <c r="L15" s="27"/>
      <c r="M15" s="33"/>
      <c r="N15" s="7" t="e">
        <f t="array" aca="1" ref="N15" ca="1">INDEX(códigos!E:E,MATCH(D15,códigos!F:F,0))</f>
        <v>#N/A</v>
      </c>
    </row>
    <row r="16" spans="1:30" ht="15.75" customHeight="1">
      <c r="A16" s="25">
        <v>12</v>
      </c>
      <c r="B16" s="26" t="str">
        <f>IF($E16="","",VLOOKUP(D16,códigos!$F:$G,2,FALSE))</f>
        <v/>
      </c>
      <c r="C16" s="27"/>
      <c r="D16" s="28" t="str">
        <f>IF(E16="","",VLOOKUP($E16,códigos!$E:$F,2,FALSE))</f>
        <v/>
      </c>
      <c r="E16" s="29"/>
      <c r="F16" s="29"/>
      <c r="G16" s="29"/>
      <c r="H16" s="37"/>
      <c r="I16" s="37"/>
      <c r="J16" s="37"/>
      <c r="K16" s="26" t="str">
        <f>IF($C16="","",VLOOKUP(C16,códigos!$B:$C,2,FALSE))</f>
        <v/>
      </c>
      <c r="L16" s="27"/>
      <c r="M16" s="33"/>
      <c r="N16" s="7" t="e">
        <f t="array" aca="1" ref="N16" ca="1">INDEX(códigos!E:E,MATCH(D16,códigos!F:F,0))</f>
        <v>#N/A</v>
      </c>
    </row>
    <row r="17" spans="1:14" ht="15.75" customHeight="1">
      <c r="A17" s="25">
        <v>12</v>
      </c>
      <c r="B17" s="26" t="str">
        <f>IF($E17="","",VLOOKUP(D17,códigos!$F:$G,2,FALSE))</f>
        <v/>
      </c>
      <c r="C17" s="27"/>
      <c r="D17" s="28" t="str">
        <f>IF(E17="","",VLOOKUP($E17,códigos!$E:$F,2,FALSE))</f>
        <v/>
      </c>
      <c r="E17" s="29"/>
      <c r="F17" s="29"/>
      <c r="G17" s="29"/>
      <c r="H17" s="37"/>
      <c r="I17" s="37"/>
      <c r="J17" s="37"/>
      <c r="K17" s="26" t="str">
        <f>IF($C17="","",VLOOKUP(C17,códigos!$B:$C,2,FALSE))</f>
        <v/>
      </c>
      <c r="L17" s="27"/>
      <c r="M17" s="33"/>
      <c r="N17" s="7" t="e">
        <f t="array" aca="1" ref="N17" ca="1">INDEX(códigos!E:E,MATCH(D17,códigos!F:F,0))</f>
        <v>#N/A</v>
      </c>
    </row>
    <row r="18" spans="1:14" ht="15.75" customHeight="1">
      <c r="A18" s="25">
        <v>12</v>
      </c>
      <c r="B18" s="26" t="str">
        <f>IF($E18="","",VLOOKUP(D18,códigos!$F:$G,2,FALSE))</f>
        <v/>
      </c>
      <c r="C18" s="27"/>
      <c r="D18" s="28" t="str">
        <f>IF(E18="","",VLOOKUP($E18,códigos!$E:$F,2,FALSE))</f>
        <v/>
      </c>
      <c r="E18" s="29"/>
      <c r="F18" s="29"/>
      <c r="G18" s="29"/>
      <c r="H18" s="30"/>
      <c r="I18" s="29"/>
      <c r="J18" s="29"/>
      <c r="K18" s="26" t="str">
        <f>IF($C18="","",VLOOKUP(C18,códigos!$B:$C,2,FALSE))</f>
        <v/>
      </c>
      <c r="L18" s="27"/>
      <c r="M18" s="44"/>
      <c r="N18" s="7" t="e">
        <f t="array" aca="1" ref="N18" ca="1">INDEX(códigos!E:E,MATCH(D18,códigos!F:F,0))</f>
        <v>#N/A</v>
      </c>
    </row>
    <row r="19" spans="1:14" ht="15.75" customHeight="1">
      <c r="A19" s="25">
        <v>12</v>
      </c>
      <c r="B19" s="26" t="str">
        <f>IF($E19="","",VLOOKUP(D19,códigos!$F:$G,2,FALSE))</f>
        <v/>
      </c>
      <c r="C19" s="27"/>
      <c r="D19" s="28" t="str">
        <f>IF(E19="","",VLOOKUP($E19,códigos!$E:$F,2,FALSE))</f>
        <v/>
      </c>
      <c r="E19" s="29"/>
      <c r="F19" s="29"/>
      <c r="G19" s="29"/>
      <c r="H19" s="42"/>
      <c r="I19" s="37"/>
      <c r="J19" s="37"/>
      <c r="K19" s="26" t="str">
        <f>IF($C19="","",VLOOKUP(C19,códigos!$B:$C,2,FALSE))</f>
        <v/>
      </c>
      <c r="L19" s="37"/>
      <c r="M19" s="45"/>
      <c r="N19" s="7" t="e">
        <f t="array" aca="1" ref="N19" ca="1">INDEX(códigos!E:E,MATCH(D19,códigos!F:F,0))</f>
        <v>#N/A</v>
      </c>
    </row>
    <row r="20" spans="1:14" ht="15.75" customHeight="1">
      <c r="A20" s="25">
        <v>12</v>
      </c>
      <c r="B20" s="26" t="str">
        <f>IF($E20="","",VLOOKUP(D20,códigos!$F:$G,2,FALSE))</f>
        <v/>
      </c>
      <c r="C20" s="27"/>
      <c r="D20" s="28" t="str">
        <f>IF(E20="","",VLOOKUP($E20,códigos!$E:$F,2,FALSE))</f>
        <v/>
      </c>
      <c r="E20" s="29"/>
      <c r="F20" s="25"/>
      <c r="G20" s="29"/>
      <c r="H20" s="30"/>
      <c r="I20" s="29"/>
      <c r="J20" s="29"/>
      <c r="K20" s="26" t="str">
        <f>IF($C20="","",VLOOKUP(C20,códigos!$B:$C,2,FALSE))</f>
        <v/>
      </c>
      <c r="M20" s="36"/>
      <c r="N20" s="7" t="e">
        <f t="array" aca="1" ref="N20" ca="1">INDEX(códigos!E:E,MATCH(D20,códigos!F:F,0))</f>
        <v>#N/A</v>
      </c>
    </row>
    <row r="21" spans="1:14" ht="15.75" customHeight="1">
      <c r="A21" s="25">
        <v>12</v>
      </c>
      <c r="B21" s="26" t="str">
        <f>IF($E21="","",VLOOKUP(D21,códigos!$F:$G,2,FALSE))</f>
        <v/>
      </c>
      <c r="C21" s="27"/>
      <c r="D21" s="28" t="str">
        <f>IF(E21="","",VLOOKUP($E21,códigos!$E:$F,2,FALSE))</f>
        <v/>
      </c>
      <c r="E21" s="29"/>
      <c r="F21" s="29"/>
      <c r="G21" s="29"/>
      <c r="H21" s="29"/>
      <c r="I21" s="29"/>
      <c r="J21" s="29"/>
      <c r="K21" s="26" t="str">
        <f>IF($C21="","",VLOOKUP(C21,códigos!$B:$C,2,FALSE))</f>
        <v/>
      </c>
      <c r="L21" s="27"/>
      <c r="M21" s="46"/>
      <c r="N21" s="7" t="e">
        <f t="array" aca="1" ref="N21" ca="1">INDEX(códigos!E:E,MATCH(D21,códigos!F:F,0))</f>
        <v>#N/A</v>
      </c>
    </row>
    <row r="22" spans="1:14" ht="15.75" customHeight="1">
      <c r="A22" s="25">
        <v>12</v>
      </c>
      <c r="B22" s="26" t="str">
        <f>IF($E22="","",VLOOKUP(D22,códigos!$F:$G,2,FALSE))</f>
        <v/>
      </c>
      <c r="C22" s="27"/>
      <c r="D22" s="28" t="str">
        <f>IF(E22="","",VLOOKUP($E22,códigos!$E:$F,2,FALSE))</f>
        <v/>
      </c>
      <c r="E22" s="29"/>
      <c r="F22" s="29"/>
      <c r="G22" s="29"/>
      <c r="H22" s="29"/>
      <c r="I22" s="29"/>
      <c r="J22" s="29"/>
      <c r="K22" s="26" t="str">
        <f>IF($C22="","",VLOOKUP(C22,códigos!$B:$C,2,FALSE))</f>
        <v/>
      </c>
      <c r="L22" s="27"/>
      <c r="M22" s="46"/>
      <c r="N22" s="7" t="e">
        <f t="array" aca="1" ref="N22" ca="1">INDEX(códigos!E:E,MATCH(D22,códigos!F:F,0))</f>
        <v>#N/A</v>
      </c>
    </row>
    <row r="23" spans="1:14" ht="15.75" customHeight="1">
      <c r="A23" s="25">
        <v>12</v>
      </c>
      <c r="B23" s="26" t="str">
        <f>IF($E23="","",VLOOKUP(D23,códigos!$F:$G,2,FALSE))</f>
        <v/>
      </c>
      <c r="C23" s="27"/>
      <c r="D23" s="28" t="str">
        <f>IF(E23="","",VLOOKUP($E23,códigos!$E:$F,2,FALSE))</f>
        <v/>
      </c>
      <c r="E23" s="29"/>
      <c r="F23" s="29"/>
      <c r="G23" s="29"/>
      <c r="H23" s="29"/>
      <c r="I23" s="29"/>
      <c r="J23" s="29"/>
      <c r="K23" s="26" t="str">
        <f>IF($C23="","",VLOOKUP(C23,códigos!$B:$C,2,FALSE))</f>
        <v/>
      </c>
      <c r="L23" s="27"/>
      <c r="M23" s="46"/>
      <c r="N23" s="7" t="e">
        <f t="array" aca="1" ref="N23" ca="1">INDEX(códigos!E:E,MATCH(D23,códigos!F:F,0))</f>
        <v>#N/A</v>
      </c>
    </row>
    <row r="24" spans="1:14" ht="15.75" customHeight="1">
      <c r="A24" s="25">
        <v>12</v>
      </c>
      <c r="B24" s="26" t="str">
        <f>IF($E24="","",VLOOKUP(D24,códigos!$F:$G,2,FALSE))</f>
        <v/>
      </c>
      <c r="C24" s="27"/>
      <c r="D24" s="28" t="str">
        <f>IF(E24="","",VLOOKUP($E24,códigos!$E:$F,2,FALSE))</f>
        <v/>
      </c>
      <c r="E24" s="29"/>
      <c r="F24" s="29"/>
      <c r="G24" s="29"/>
      <c r="H24" s="29"/>
      <c r="I24" s="29"/>
      <c r="J24" s="29"/>
      <c r="K24" s="26" t="str">
        <f>IF($C24="","",VLOOKUP(C24,códigos!$B:$C,2,FALSE))</f>
        <v/>
      </c>
      <c r="L24" s="27"/>
      <c r="M24" s="46"/>
      <c r="N24" s="7" t="e">
        <f t="array" aca="1" ref="N24" ca="1">INDEX(códigos!E:E,MATCH(D24,códigos!F:F,0))</f>
        <v>#N/A</v>
      </c>
    </row>
    <row r="25" spans="1:14" ht="15.75" customHeight="1">
      <c r="A25" s="25">
        <v>12</v>
      </c>
      <c r="B25" s="26" t="str">
        <f>IF($E25="","",VLOOKUP(D25,códigos!$F:$G,2,FALSE))</f>
        <v/>
      </c>
      <c r="C25" s="27"/>
      <c r="D25" s="28" t="str">
        <f>IF(E25="","",VLOOKUP($E25,códigos!$E:$F,2,FALSE))</f>
        <v/>
      </c>
      <c r="E25" s="29"/>
      <c r="F25" s="29"/>
      <c r="G25" s="29"/>
      <c r="H25" s="29"/>
      <c r="I25" s="29"/>
      <c r="J25" s="29"/>
      <c r="K25" s="26" t="str">
        <f>IF($C25="","",VLOOKUP(C25,códigos!$B:$C,2,FALSE))</f>
        <v/>
      </c>
      <c r="L25" s="27"/>
      <c r="M25" s="46"/>
      <c r="N25" s="7" t="e">
        <f t="array" aca="1" ref="N25" ca="1">INDEX(códigos!E:E,MATCH(D25,códigos!F:F,0))</f>
        <v>#N/A</v>
      </c>
    </row>
    <row r="26" spans="1:14" ht="15.75" customHeight="1">
      <c r="A26" s="25">
        <v>12</v>
      </c>
      <c r="B26" s="26" t="str">
        <f>IF($E26="","",VLOOKUP(D26,códigos!$F:$G,2,FALSE))</f>
        <v/>
      </c>
      <c r="C26" s="27"/>
      <c r="D26" s="28" t="str">
        <f>IF(E26="","",VLOOKUP($E26,códigos!$E:$F,2,FALSE))</f>
        <v/>
      </c>
      <c r="E26" s="29"/>
      <c r="F26" s="29"/>
      <c r="G26" s="29"/>
      <c r="H26" s="29"/>
      <c r="I26" s="29"/>
      <c r="J26" s="29"/>
      <c r="K26" s="26" t="str">
        <f>IF($C26="","",VLOOKUP(C26,códigos!$B:$C,2,FALSE))</f>
        <v/>
      </c>
      <c r="L26" s="27"/>
      <c r="M26" s="46"/>
      <c r="N26" s="7" t="e">
        <f t="array" aca="1" ref="N26" ca="1">INDEX(códigos!E:E,MATCH(D26,códigos!F:F,0))</f>
        <v>#N/A</v>
      </c>
    </row>
    <row r="27" spans="1:14" ht="15.75" customHeight="1">
      <c r="A27" s="25">
        <v>12</v>
      </c>
      <c r="B27" s="26" t="str">
        <f>IF($E27="","",VLOOKUP(D27,códigos!$F:$G,2,FALSE))</f>
        <v/>
      </c>
      <c r="C27" s="27"/>
      <c r="D27" s="28" t="str">
        <f>IF(E27="","",VLOOKUP($E27,códigos!$E:$F,2,FALSE))</f>
        <v/>
      </c>
      <c r="E27" s="29"/>
      <c r="F27" s="29"/>
      <c r="G27" s="29"/>
      <c r="H27" s="29"/>
      <c r="I27" s="29"/>
      <c r="J27" s="29"/>
      <c r="K27" s="26" t="str">
        <f>IF($C27="","",VLOOKUP(C27,códigos!$B:$C,2,FALSE))</f>
        <v/>
      </c>
      <c r="L27" s="27"/>
      <c r="M27" s="46"/>
      <c r="N27" s="7" t="e">
        <f t="array" aca="1" ref="N27" ca="1">INDEX(códigos!E:E,MATCH(D27,códigos!F:F,0))</f>
        <v>#N/A</v>
      </c>
    </row>
    <row r="28" spans="1:14" ht="15.75" customHeight="1">
      <c r="A28" s="25">
        <v>12</v>
      </c>
      <c r="B28" s="26" t="str">
        <f>IF($E28="","",VLOOKUP(D28,códigos!$F:$G,2,FALSE))</f>
        <v/>
      </c>
      <c r="C28" s="27"/>
      <c r="D28" s="28" t="str">
        <f>IF(E28="","",VLOOKUP($E28,códigos!$E:$F,2,FALSE))</f>
        <v/>
      </c>
      <c r="E28" s="29"/>
      <c r="F28" s="29"/>
      <c r="G28" s="29"/>
      <c r="H28" s="29"/>
      <c r="I28" s="29"/>
      <c r="J28" s="29"/>
      <c r="K28" s="26" t="str">
        <f>IF($C28="","",VLOOKUP(C28,códigos!$B:$C,2,FALSE))</f>
        <v/>
      </c>
      <c r="L28" s="27"/>
      <c r="M28" s="46"/>
      <c r="N28" s="7" t="e">
        <f t="array" aca="1" ref="N28" ca="1">INDEX(códigos!E:E,MATCH(D28,códigos!F:F,0))</f>
        <v>#N/A</v>
      </c>
    </row>
    <row r="29" spans="1:14" ht="15.75" customHeight="1">
      <c r="A29" s="25">
        <v>12</v>
      </c>
      <c r="B29" s="26" t="str">
        <f>IF($E29="","",VLOOKUP(D29,códigos!$F:$G,2,FALSE))</f>
        <v/>
      </c>
      <c r="C29" s="27"/>
      <c r="D29" s="28" t="str">
        <f>IF(E29="","",VLOOKUP($E29,códigos!$E:$F,2,FALSE))</f>
        <v/>
      </c>
      <c r="E29" s="29"/>
      <c r="F29" s="29"/>
      <c r="G29" s="29"/>
      <c r="H29" s="29"/>
      <c r="I29" s="29"/>
      <c r="J29" s="29"/>
      <c r="K29" s="26" t="str">
        <f>IF($C29="","",VLOOKUP(C29,códigos!$B:$C,2,FALSE))</f>
        <v/>
      </c>
      <c r="L29" s="27"/>
      <c r="M29" s="46"/>
      <c r="N29" s="7" t="e">
        <f t="array" aca="1" ref="N29" ca="1">INDEX(códigos!E:E,MATCH(D29,códigos!F:F,0))</f>
        <v>#N/A</v>
      </c>
    </row>
    <row r="30" spans="1:14" ht="15.75" customHeight="1">
      <c r="A30" s="25">
        <v>12</v>
      </c>
      <c r="B30" s="26" t="str">
        <f>IF($E30="","",VLOOKUP(D30,códigos!$F:$G,2,FALSE))</f>
        <v/>
      </c>
      <c r="C30" s="27"/>
      <c r="D30" s="28" t="str">
        <f>IF(E30="","",VLOOKUP($E30,códigos!$E:$F,2,FALSE))</f>
        <v/>
      </c>
      <c r="E30" s="29"/>
      <c r="F30" s="29"/>
      <c r="G30" s="29"/>
      <c r="H30" s="29"/>
      <c r="I30" s="29"/>
      <c r="J30" s="29"/>
      <c r="K30" s="26" t="str">
        <f>IF($C30="","",VLOOKUP(C30,códigos!$B:$C,2,FALSE))</f>
        <v/>
      </c>
      <c r="L30" s="27"/>
      <c r="M30" s="46"/>
      <c r="N30" s="7" t="e">
        <f t="array" aca="1" ref="N30" ca="1">INDEX(códigos!E:E,MATCH(D30,códigos!F:F,0))</f>
        <v>#N/A</v>
      </c>
    </row>
    <row r="31" spans="1:14" ht="15.75" customHeight="1">
      <c r="A31" s="25"/>
      <c r="B31" s="25"/>
      <c r="D31" s="25"/>
      <c r="E31" s="25"/>
      <c r="F31" s="25"/>
      <c r="G31" s="25"/>
      <c r="H31" s="25"/>
      <c r="I31" s="25"/>
      <c r="J31" s="25"/>
      <c r="K31" s="25"/>
    </row>
    <row r="32" spans="1:14" ht="15.75" customHeight="1">
      <c r="A32" s="25"/>
      <c r="B32" s="25"/>
      <c r="D32" s="25"/>
      <c r="E32" s="25"/>
      <c r="F32" s="25"/>
      <c r="G32" s="25"/>
      <c r="H32" s="25"/>
      <c r="I32" s="25"/>
      <c r="J32" s="25"/>
      <c r="K32" s="25"/>
    </row>
    <row r="33" spans="1:11" ht="15.75" customHeight="1">
      <c r="A33" s="25"/>
      <c r="B33" s="25"/>
      <c r="D33" s="25"/>
      <c r="E33" s="25"/>
      <c r="F33" s="25"/>
      <c r="G33" s="25"/>
      <c r="H33" s="25"/>
      <c r="I33" s="25"/>
      <c r="J33" s="25"/>
      <c r="K33" s="25"/>
    </row>
    <row r="34" spans="1:11" ht="15.75" customHeight="1">
      <c r="A34" s="25"/>
      <c r="B34" s="25"/>
      <c r="D34" s="25"/>
      <c r="E34" s="25"/>
      <c r="F34" s="25"/>
      <c r="G34" s="25"/>
      <c r="H34" s="25"/>
      <c r="I34" s="25"/>
      <c r="J34" s="25"/>
      <c r="K34" s="25"/>
    </row>
    <row r="35" spans="1:11" ht="15.75" customHeight="1">
      <c r="A35" s="25"/>
      <c r="B35" s="25"/>
      <c r="D35" s="25"/>
      <c r="E35" s="25"/>
      <c r="F35" s="25"/>
      <c r="G35" s="25"/>
      <c r="H35" s="25"/>
      <c r="I35" s="25"/>
      <c r="J35" s="25"/>
      <c r="K35" s="25"/>
    </row>
    <row r="36" spans="1:11" ht="15.75" customHeight="1">
      <c r="A36" s="25"/>
      <c r="B36" s="25"/>
      <c r="D36" s="25"/>
      <c r="E36" s="25"/>
      <c r="F36" s="25"/>
      <c r="G36" s="25"/>
      <c r="H36" s="25"/>
      <c r="I36" s="25"/>
      <c r="J36" s="25"/>
      <c r="K36" s="25"/>
    </row>
    <row r="37" spans="1:11" ht="15.75" customHeight="1">
      <c r="A37" s="25"/>
      <c r="B37" s="25"/>
      <c r="D37" s="25"/>
      <c r="E37" s="25"/>
      <c r="F37" s="25"/>
      <c r="G37" s="25"/>
      <c r="H37" s="25"/>
      <c r="I37" s="25"/>
      <c r="J37" s="25"/>
      <c r="K37" s="25"/>
    </row>
    <row r="38" spans="1:11" ht="15.75" customHeight="1">
      <c r="A38" s="25"/>
      <c r="B38" s="25"/>
      <c r="D38" s="25"/>
      <c r="E38" s="25"/>
      <c r="F38" s="25"/>
      <c r="G38" s="25"/>
      <c r="H38" s="25"/>
      <c r="I38" s="25"/>
      <c r="J38" s="25"/>
      <c r="K38" s="25"/>
    </row>
    <row r="39" spans="1:11" ht="15.75" customHeight="1">
      <c r="A39" s="25"/>
      <c r="B39" s="25"/>
      <c r="D39" s="25"/>
      <c r="E39" s="25"/>
      <c r="F39" s="25"/>
      <c r="G39" s="25"/>
      <c r="H39" s="25"/>
      <c r="I39" s="25"/>
      <c r="J39" s="25"/>
      <c r="K39" s="25"/>
    </row>
    <row r="40" spans="1:11" ht="15.75" customHeight="1">
      <c r="A40" s="25"/>
      <c r="B40" s="25"/>
      <c r="D40" s="25"/>
      <c r="E40" s="25"/>
      <c r="F40" s="25"/>
      <c r="G40" s="25"/>
      <c r="H40" s="25"/>
      <c r="I40" s="25"/>
      <c r="J40" s="25"/>
      <c r="K40" s="25"/>
    </row>
    <row r="41" spans="1:11" ht="15.75" customHeight="1">
      <c r="A41" s="25"/>
      <c r="B41" s="25"/>
      <c r="D41" s="25"/>
      <c r="E41" s="25"/>
      <c r="F41" s="25"/>
      <c r="G41" s="25"/>
      <c r="H41" s="25"/>
      <c r="I41" s="25"/>
      <c r="J41" s="25"/>
      <c r="K41" s="25"/>
    </row>
    <row r="42" spans="1:11" ht="15.75" customHeight="1">
      <c r="A42" s="25"/>
      <c r="B42" s="25"/>
      <c r="D42" s="25"/>
      <c r="E42" s="25"/>
      <c r="F42" s="25"/>
      <c r="G42" s="25"/>
      <c r="H42" s="25"/>
      <c r="I42" s="25"/>
      <c r="J42" s="25"/>
      <c r="K42" s="25"/>
    </row>
    <row r="43" spans="1:11" ht="15.75" customHeight="1">
      <c r="A43" s="25"/>
      <c r="B43" s="25"/>
      <c r="D43" s="25"/>
      <c r="E43" s="25"/>
      <c r="F43" s="25"/>
      <c r="G43" s="25"/>
      <c r="H43" s="25"/>
      <c r="I43" s="25"/>
      <c r="J43" s="25"/>
      <c r="K43" s="25"/>
    </row>
    <row r="44" spans="1:11" ht="15.75" customHeight="1">
      <c r="A44" s="25"/>
      <c r="B44" s="25"/>
      <c r="D44" s="25"/>
      <c r="E44" s="25"/>
      <c r="F44" s="25"/>
      <c r="G44" s="25"/>
      <c r="H44" s="25"/>
      <c r="I44" s="25"/>
      <c r="J44" s="25"/>
      <c r="K44" s="25"/>
    </row>
    <row r="45" spans="1:11" ht="15.75" customHeight="1">
      <c r="A45" s="25"/>
      <c r="B45" s="25"/>
      <c r="D45" s="25"/>
      <c r="E45" s="25"/>
      <c r="F45" s="25"/>
      <c r="G45" s="25"/>
      <c r="H45" s="25"/>
      <c r="I45" s="25"/>
      <c r="J45" s="25"/>
      <c r="K45" s="25"/>
    </row>
    <row r="46" spans="1:11" ht="15.75" customHeight="1">
      <c r="A46" s="25"/>
      <c r="B46" s="25"/>
      <c r="D46" s="25"/>
      <c r="E46" s="25"/>
      <c r="F46" s="25"/>
      <c r="G46" s="25"/>
      <c r="H46" s="25"/>
      <c r="I46" s="25"/>
      <c r="J46" s="25"/>
      <c r="K46" s="25"/>
    </row>
    <row r="47" spans="1:11" ht="15.75" customHeight="1">
      <c r="A47" s="25"/>
      <c r="B47" s="25"/>
      <c r="D47" s="25"/>
      <c r="E47" s="25"/>
      <c r="F47" s="25"/>
      <c r="G47" s="25"/>
      <c r="H47" s="25"/>
      <c r="I47" s="25"/>
      <c r="J47" s="25"/>
      <c r="K47" s="25"/>
    </row>
    <row r="48" spans="1:11" ht="15.75" customHeight="1">
      <c r="A48" s="25"/>
      <c r="B48" s="25"/>
      <c r="D48" s="25"/>
      <c r="E48" s="25"/>
      <c r="F48" s="25"/>
      <c r="G48" s="25"/>
      <c r="H48" s="25"/>
      <c r="I48" s="25"/>
      <c r="J48" s="25"/>
      <c r="K48" s="25"/>
    </row>
    <row r="49" spans="1:11" ht="15.75" customHeight="1">
      <c r="A49" s="25"/>
      <c r="B49" s="25"/>
      <c r="D49" s="25"/>
      <c r="E49" s="25"/>
      <c r="F49" s="25"/>
      <c r="G49" s="25"/>
      <c r="H49" s="25"/>
      <c r="I49" s="25"/>
      <c r="J49" s="25"/>
      <c r="K49" s="25"/>
    </row>
    <row r="50" spans="1:11" ht="15.75" customHeight="1">
      <c r="A50" s="25"/>
      <c r="B50" s="25"/>
      <c r="D50" s="25"/>
      <c r="E50" s="25"/>
      <c r="F50" s="25"/>
      <c r="G50" s="25"/>
      <c r="H50" s="25"/>
      <c r="I50" s="25"/>
      <c r="J50" s="25"/>
      <c r="K50" s="25"/>
    </row>
    <row r="51" spans="1:11" ht="15.75" customHeight="1">
      <c r="A51" s="25"/>
      <c r="B51" s="25"/>
      <c r="D51" s="25"/>
      <c r="E51" s="21"/>
      <c r="F51" s="25"/>
      <c r="G51" s="25"/>
      <c r="H51" s="25"/>
      <c r="I51" s="25"/>
      <c r="J51" s="25"/>
      <c r="K51" s="25"/>
    </row>
    <row r="52" spans="1:11" ht="15.75" customHeight="1">
      <c r="A52" s="25"/>
      <c r="B52" s="25"/>
      <c r="D52" s="25"/>
      <c r="E52" s="22"/>
      <c r="F52" s="25"/>
      <c r="G52" s="25"/>
      <c r="H52" s="25"/>
      <c r="I52" s="25"/>
      <c r="J52" s="25"/>
      <c r="K52" s="25"/>
    </row>
    <row r="53" spans="1:11" ht="15.75" customHeight="1">
      <c r="A53" s="25"/>
      <c r="B53" s="25"/>
      <c r="D53" s="25"/>
      <c r="E53" s="22" t="s">
        <v>5</v>
      </c>
      <c r="F53" s="25"/>
      <c r="G53" s="25"/>
      <c r="H53" s="25"/>
      <c r="I53" s="25"/>
      <c r="J53" s="25"/>
      <c r="K53" s="25"/>
    </row>
    <row r="54" spans="1:11" ht="15.75" customHeight="1">
      <c r="A54" s="25"/>
      <c r="B54" s="25"/>
      <c r="D54" s="25"/>
      <c r="E54" s="29"/>
      <c r="F54" s="25"/>
      <c r="G54" s="25"/>
      <c r="H54" s="25"/>
      <c r="I54" s="25"/>
      <c r="J54" s="25"/>
      <c r="K54" s="25"/>
    </row>
    <row r="55" spans="1:11" ht="15.75" customHeight="1">
      <c r="A55" s="25"/>
      <c r="B55" s="25"/>
      <c r="D55" s="25"/>
      <c r="E55" s="29"/>
      <c r="F55" s="25"/>
      <c r="G55" s="25"/>
      <c r="H55" s="25"/>
      <c r="I55" s="25"/>
      <c r="J55" s="25"/>
      <c r="K55" s="25"/>
    </row>
    <row r="56" spans="1:11" ht="15.75" customHeight="1">
      <c r="A56" s="25"/>
      <c r="B56" s="25"/>
      <c r="D56" s="25"/>
      <c r="E56" s="29"/>
      <c r="F56" s="25"/>
      <c r="G56" s="25"/>
      <c r="H56" s="25"/>
      <c r="I56" s="25"/>
      <c r="J56" s="25"/>
      <c r="K56" s="25"/>
    </row>
    <row r="57" spans="1:11" ht="15.75" customHeight="1">
      <c r="A57" s="25"/>
      <c r="B57" s="25"/>
      <c r="D57" s="25"/>
      <c r="E57" s="29"/>
      <c r="F57" s="25"/>
      <c r="G57" s="25"/>
      <c r="H57" s="25"/>
      <c r="I57" s="25"/>
      <c r="J57" s="25"/>
      <c r="K57" s="25"/>
    </row>
    <row r="58" spans="1:11" ht="15.75" customHeight="1">
      <c r="A58" s="25"/>
      <c r="B58" s="25"/>
      <c r="D58" s="25"/>
      <c r="E58" s="29"/>
      <c r="F58" s="25"/>
      <c r="G58" s="25"/>
      <c r="H58" s="25"/>
      <c r="I58" s="25"/>
      <c r="J58" s="25"/>
      <c r="K58" s="25"/>
    </row>
    <row r="59" spans="1:11" ht="15.75" customHeight="1">
      <c r="A59" s="25"/>
      <c r="B59" s="25"/>
      <c r="D59" s="25"/>
      <c r="E59" s="29"/>
      <c r="F59" s="25"/>
      <c r="G59" s="25"/>
      <c r="H59" s="25"/>
      <c r="I59" s="25"/>
      <c r="J59" s="25"/>
      <c r="K59" s="25"/>
    </row>
    <row r="60" spans="1:11" ht="15.75" customHeight="1">
      <c r="A60" s="25"/>
      <c r="B60" s="25"/>
      <c r="D60" s="25"/>
      <c r="E60" s="29"/>
      <c r="F60" s="25"/>
      <c r="G60" s="25"/>
      <c r="H60" s="25"/>
      <c r="I60" s="25"/>
      <c r="J60" s="25"/>
      <c r="K60" s="25"/>
    </row>
    <row r="61" spans="1:11" ht="15.75" customHeight="1">
      <c r="A61" s="25"/>
      <c r="B61" s="25"/>
      <c r="D61" s="25"/>
      <c r="E61" s="29"/>
      <c r="F61" s="25"/>
      <c r="G61" s="25"/>
      <c r="H61" s="25"/>
      <c r="I61" s="25"/>
      <c r="J61" s="25"/>
      <c r="K61" s="25"/>
    </row>
    <row r="62" spans="1:11" ht="15.75" customHeight="1">
      <c r="A62" s="25"/>
      <c r="B62" s="25"/>
      <c r="D62" s="25"/>
      <c r="E62" s="29"/>
      <c r="F62" s="25"/>
      <c r="G62" s="25"/>
      <c r="H62" s="25"/>
      <c r="I62" s="25"/>
      <c r="J62" s="25"/>
      <c r="K62" s="25"/>
    </row>
    <row r="63" spans="1:11" ht="15.75" customHeight="1">
      <c r="A63" s="25"/>
      <c r="B63" s="25"/>
      <c r="D63" s="25"/>
      <c r="E63" s="29"/>
      <c r="F63" s="25"/>
      <c r="G63" s="25"/>
      <c r="H63" s="25"/>
      <c r="I63" s="25"/>
      <c r="J63" s="25"/>
      <c r="K63" s="25"/>
    </row>
    <row r="64" spans="1:11" ht="15.75" customHeight="1">
      <c r="A64" s="25"/>
      <c r="B64" s="25"/>
      <c r="D64" s="25"/>
      <c r="E64" s="29"/>
      <c r="F64" s="25"/>
      <c r="G64" s="25"/>
      <c r="H64" s="25"/>
      <c r="I64" s="25"/>
      <c r="J64" s="25"/>
      <c r="K64" s="25"/>
    </row>
    <row r="65" spans="1:11" ht="15.75" customHeight="1">
      <c r="A65" s="25"/>
      <c r="B65" s="25"/>
      <c r="D65" s="25"/>
      <c r="E65" s="29"/>
      <c r="F65" s="25"/>
      <c r="G65" s="25"/>
      <c r="H65" s="25"/>
      <c r="I65" s="25"/>
      <c r="J65" s="25"/>
      <c r="K65" s="25"/>
    </row>
    <row r="66" spans="1:11" ht="15.75" customHeight="1">
      <c r="A66" s="25"/>
      <c r="B66" s="25"/>
      <c r="D66" s="25"/>
      <c r="E66" s="29"/>
      <c r="F66" s="25"/>
      <c r="G66" s="25"/>
      <c r="H66" s="25"/>
      <c r="I66" s="25"/>
      <c r="J66" s="25"/>
      <c r="K66" s="25"/>
    </row>
    <row r="67" spans="1:11" ht="15.75" customHeight="1">
      <c r="A67" s="25"/>
      <c r="B67" s="25"/>
      <c r="D67" s="25"/>
      <c r="E67" s="29"/>
      <c r="F67" s="25"/>
      <c r="G67" s="25"/>
      <c r="H67" s="25"/>
      <c r="I67" s="25"/>
      <c r="J67" s="25"/>
      <c r="K67" s="25"/>
    </row>
    <row r="68" spans="1:11" ht="15.75" customHeight="1">
      <c r="A68" s="25"/>
      <c r="B68" s="25"/>
      <c r="D68" s="25"/>
      <c r="E68" s="29"/>
      <c r="F68" s="25"/>
      <c r="G68" s="25"/>
      <c r="H68" s="25"/>
      <c r="I68" s="25"/>
      <c r="J68" s="25"/>
      <c r="K68" s="25"/>
    </row>
    <row r="69" spans="1:11" ht="15.75" customHeight="1">
      <c r="A69" s="25"/>
      <c r="B69" s="25"/>
      <c r="D69" s="25"/>
      <c r="E69" s="29"/>
      <c r="F69" s="25"/>
      <c r="G69" s="25"/>
      <c r="H69" s="25"/>
      <c r="I69" s="25"/>
      <c r="J69" s="25"/>
      <c r="K69" s="25"/>
    </row>
    <row r="70" spans="1:11" ht="15.75" customHeight="1">
      <c r="A70" s="25"/>
      <c r="B70" s="25"/>
      <c r="D70" s="25"/>
      <c r="E70" s="29"/>
      <c r="F70" s="25"/>
      <c r="G70" s="25"/>
      <c r="H70" s="25"/>
      <c r="I70" s="25"/>
      <c r="J70" s="25"/>
      <c r="K70" s="25"/>
    </row>
    <row r="71" spans="1:11" ht="15.75" customHeight="1">
      <c r="A71" s="25"/>
      <c r="B71" s="25"/>
      <c r="D71" s="25"/>
      <c r="E71" s="29"/>
      <c r="F71" s="25"/>
      <c r="G71" s="25"/>
      <c r="H71" s="25"/>
      <c r="I71" s="25"/>
      <c r="J71" s="25"/>
      <c r="K71" s="25"/>
    </row>
    <row r="72" spans="1:11" ht="15.75" customHeight="1">
      <c r="A72" s="25"/>
      <c r="B72" s="25"/>
      <c r="D72" s="25"/>
      <c r="E72" s="29"/>
      <c r="F72" s="25"/>
      <c r="G72" s="25"/>
      <c r="H72" s="25"/>
      <c r="I72" s="25"/>
      <c r="J72" s="25"/>
      <c r="K72" s="25"/>
    </row>
    <row r="73" spans="1:11" ht="15.75" customHeight="1">
      <c r="A73" s="25"/>
      <c r="B73" s="25"/>
      <c r="D73" s="25"/>
      <c r="E73" s="29"/>
      <c r="F73" s="25"/>
      <c r="G73" s="25"/>
      <c r="H73" s="25"/>
      <c r="I73" s="25"/>
      <c r="J73" s="25"/>
      <c r="K73" s="25"/>
    </row>
    <row r="74" spans="1:11" ht="15.75" customHeight="1">
      <c r="A74" s="25"/>
      <c r="B74" s="25"/>
      <c r="D74" s="25"/>
      <c r="E74" s="29"/>
      <c r="F74" s="25"/>
      <c r="G74" s="25"/>
      <c r="H74" s="25"/>
      <c r="I74" s="25"/>
      <c r="J74" s="25"/>
      <c r="K74" s="25"/>
    </row>
    <row r="75" spans="1:11" ht="15.75" customHeight="1">
      <c r="A75" s="25"/>
      <c r="B75" s="25"/>
      <c r="D75" s="25"/>
      <c r="E75" s="29"/>
      <c r="F75" s="25"/>
      <c r="G75" s="25"/>
      <c r="H75" s="25"/>
      <c r="I75" s="25"/>
      <c r="J75" s="25"/>
      <c r="K75" s="25"/>
    </row>
    <row r="76" spans="1:11" ht="15.75" customHeight="1">
      <c r="A76" s="25"/>
      <c r="B76" s="25"/>
      <c r="D76" s="25"/>
      <c r="E76" s="29"/>
      <c r="F76" s="25"/>
      <c r="G76" s="25"/>
      <c r="H76" s="25"/>
      <c r="I76" s="25"/>
      <c r="J76" s="25"/>
      <c r="K76" s="25"/>
    </row>
    <row r="77" spans="1:11" ht="15.75" customHeight="1">
      <c r="A77" s="25"/>
      <c r="B77" s="25"/>
      <c r="D77" s="25"/>
      <c r="E77" s="29"/>
      <c r="F77" s="25"/>
      <c r="G77" s="25"/>
      <c r="H77" s="25"/>
      <c r="I77" s="25"/>
      <c r="J77" s="25"/>
      <c r="K77" s="25"/>
    </row>
    <row r="78" spans="1:11" ht="15.75" customHeight="1">
      <c r="A78" s="25"/>
      <c r="B78" s="25"/>
      <c r="D78" s="25"/>
      <c r="E78" s="29"/>
      <c r="F78" s="25"/>
      <c r="G78" s="25"/>
      <c r="H78" s="25"/>
      <c r="I78" s="25"/>
      <c r="J78" s="25"/>
      <c r="K78" s="25"/>
    </row>
    <row r="79" spans="1:11" ht="15.75" customHeight="1">
      <c r="A79" s="25"/>
      <c r="B79" s="25"/>
      <c r="D79" s="25"/>
      <c r="E79" s="29"/>
      <c r="F79" s="25"/>
      <c r="G79" s="25"/>
      <c r="H79" s="25"/>
      <c r="I79" s="25"/>
      <c r="J79" s="25"/>
      <c r="K79" s="25"/>
    </row>
    <row r="80" spans="1:11" ht="15.75" customHeight="1">
      <c r="A80" s="25"/>
      <c r="B80" s="25"/>
      <c r="D80" s="25"/>
      <c r="E80" s="29"/>
      <c r="F80" s="25"/>
      <c r="G80" s="25"/>
      <c r="H80" s="25"/>
      <c r="I80" s="25"/>
      <c r="J80" s="25"/>
      <c r="K80" s="25"/>
    </row>
    <row r="81" spans="1:11" ht="15.75" customHeight="1">
      <c r="A81" s="25"/>
      <c r="B81" s="25"/>
      <c r="D81" s="25"/>
      <c r="E81" s="25"/>
      <c r="F81" s="25"/>
      <c r="G81" s="25"/>
      <c r="H81" s="25"/>
      <c r="I81" s="25"/>
      <c r="J81" s="25"/>
      <c r="K81" s="25"/>
    </row>
    <row r="82" spans="1:11" ht="15.75" customHeight="1">
      <c r="A82" s="25"/>
      <c r="B82" s="25"/>
      <c r="D82" s="25"/>
      <c r="E82" s="25"/>
      <c r="F82" s="25"/>
      <c r="G82" s="25"/>
      <c r="H82" s="25"/>
      <c r="I82" s="25"/>
      <c r="J82" s="25"/>
      <c r="K82" s="25"/>
    </row>
    <row r="83" spans="1:11" ht="15.75" customHeight="1">
      <c r="A83" s="25"/>
      <c r="B83" s="25"/>
      <c r="D83" s="25"/>
      <c r="E83" s="25"/>
      <c r="F83" s="25"/>
      <c r="G83" s="25"/>
      <c r="H83" s="25"/>
      <c r="I83" s="25"/>
      <c r="J83" s="25"/>
      <c r="K83" s="25"/>
    </row>
    <row r="84" spans="1:11" ht="15.75" customHeight="1">
      <c r="A84" s="25"/>
      <c r="B84" s="25"/>
      <c r="D84" s="25"/>
      <c r="E84" s="25"/>
      <c r="F84" s="25"/>
      <c r="G84" s="25"/>
      <c r="H84" s="25"/>
      <c r="I84" s="25"/>
      <c r="J84" s="25"/>
      <c r="K84" s="25"/>
    </row>
    <row r="85" spans="1:11" ht="15.75" customHeight="1">
      <c r="A85" s="25"/>
      <c r="B85" s="25"/>
      <c r="D85" s="25"/>
      <c r="E85" s="25"/>
      <c r="F85" s="25"/>
      <c r="G85" s="25"/>
      <c r="H85" s="25"/>
      <c r="I85" s="25"/>
      <c r="J85" s="25"/>
      <c r="K85" s="25"/>
    </row>
    <row r="86" spans="1:11" ht="15.75" customHeight="1">
      <c r="A86" s="25"/>
      <c r="B86" s="25"/>
      <c r="D86" s="25"/>
      <c r="E86" s="25"/>
      <c r="F86" s="25"/>
      <c r="G86" s="25"/>
      <c r="H86" s="25"/>
      <c r="I86" s="25"/>
      <c r="J86" s="25"/>
      <c r="K86" s="25"/>
    </row>
    <row r="87" spans="1:11" ht="15.75" customHeight="1">
      <c r="A87" s="25"/>
      <c r="B87" s="25"/>
      <c r="D87" s="25"/>
      <c r="E87" s="25"/>
      <c r="F87" s="25"/>
      <c r="G87" s="25"/>
      <c r="H87" s="25"/>
      <c r="I87" s="25"/>
      <c r="J87" s="25"/>
      <c r="K87" s="25"/>
    </row>
    <row r="88" spans="1:11" ht="15.75" customHeight="1">
      <c r="A88" s="25"/>
      <c r="B88" s="25"/>
      <c r="D88" s="25"/>
      <c r="E88" s="25"/>
      <c r="F88" s="25"/>
      <c r="G88" s="25"/>
      <c r="H88" s="25"/>
      <c r="I88" s="25"/>
      <c r="J88" s="25"/>
      <c r="K88" s="25"/>
    </row>
    <row r="89" spans="1:11" ht="15.75" customHeight="1">
      <c r="A89" s="25"/>
      <c r="B89" s="25"/>
      <c r="D89" s="25"/>
      <c r="E89" s="25"/>
      <c r="F89" s="25"/>
      <c r="G89" s="25"/>
      <c r="H89" s="25"/>
      <c r="I89" s="25"/>
      <c r="J89" s="25"/>
      <c r="K89" s="25"/>
    </row>
    <row r="90" spans="1:11" ht="15.75" customHeight="1">
      <c r="A90" s="25"/>
      <c r="B90" s="25"/>
      <c r="D90" s="25"/>
      <c r="E90" s="25"/>
      <c r="F90" s="25"/>
      <c r="G90" s="25"/>
      <c r="H90" s="25"/>
      <c r="I90" s="25"/>
      <c r="J90" s="25"/>
      <c r="K90" s="25"/>
    </row>
    <row r="91" spans="1:11" ht="15.75" customHeight="1">
      <c r="A91" s="25"/>
      <c r="B91" s="25"/>
      <c r="D91" s="25"/>
      <c r="E91" s="25"/>
      <c r="F91" s="25"/>
      <c r="G91" s="25"/>
      <c r="H91" s="25"/>
      <c r="I91" s="25"/>
      <c r="J91" s="25"/>
      <c r="K91" s="25"/>
    </row>
    <row r="92" spans="1:11" ht="15.75" customHeight="1">
      <c r="A92" s="25"/>
      <c r="B92" s="25"/>
      <c r="D92" s="25"/>
      <c r="E92" s="25"/>
      <c r="F92" s="25"/>
      <c r="G92" s="25"/>
      <c r="H92" s="25"/>
      <c r="I92" s="25"/>
      <c r="J92" s="25"/>
      <c r="K92" s="25"/>
    </row>
    <row r="93" spans="1:11" ht="15.75" customHeight="1">
      <c r="A93" s="25"/>
      <c r="B93" s="25"/>
      <c r="D93" s="25"/>
      <c r="E93" s="25"/>
      <c r="F93" s="25"/>
      <c r="G93" s="25"/>
      <c r="H93" s="25"/>
      <c r="I93" s="25"/>
      <c r="J93" s="25"/>
      <c r="K93" s="25"/>
    </row>
    <row r="94" spans="1:11" ht="15.75" customHeight="1">
      <c r="A94" s="25"/>
      <c r="B94" s="25"/>
      <c r="D94" s="25"/>
      <c r="E94" s="25"/>
      <c r="F94" s="25"/>
      <c r="G94" s="25"/>
      <c r="H94" s="25"/>
      <c r="I94" s="25"/>
      <c r="J94" s="25"/>
      <c r="K94" s="25"/>
    </row>
    <row r="95" spans="1:11" ht="15.75" customHeight="1">
      <c r="A95" s="25"/>
      <c r="B95" s="25"/>
      <c r="D95" s="25"/>
      <c r="E95" s="25"/>
      <c r="F95" s="25"/>
      <c r="G95" s="25"/>
      <c r="H95" s="25"/>
      <c r="I95" s="25"/>
      <c r="J95" s="25"/>
      <c r="K95" s="25"/>
    </row>
    <row r="96" spans="1:11" ht="15.75" customHeight="1">
      <c r="A96" s="25"/>
      <c r="B96" s="25"/>
      <c r="D96" s="25"/>
      <c r="E96" s="25"/>
      <c r="F96" s="25"/>
      <c r="G96" s="25"/>
      <c r="H96" s="25"/>
      <c r="I96" s="25"/>
      <c r="J96" s="25"/>
      <c r="K96" s="25"/>
    </row>
    <row r="97" spans="1:11" ht="15.75" customHeight="1">
      <c r="A97" s="25"/>
      <c r="B97" s="25"/>
      <c r="D97" s="25"/>
      <c r="E97" s="25"/>
      <c r="F97" s="25"/>
      <c r="G97" s="25"/>
      <c r="H97" s="25"/>
      <c r="I97" s="25"/>
      <c r="J97" s="25"/>
      <c r="K97" s="25"/>
    </row>
    <row r="98" spans="1:11" ht="15.75" customHeight="1">
      <c r="A98" s="25"/>
      <c r="B98" s="25"/>
      <c r="D98" s="25"/>
      <c r="E98" s="25"/>
      <c r="F98" s="25"/>
      <c r="G98" s="25"/>
      <c r="H98" s="25"/>
      <c r="I98" s="25"/>
      <c r="J98" s="25"/>
      <c r="K98" s="25"/>
    </row>
    <row r="99" spans="1:11" ht="15.75" customHeight="1">
      <c r="A99" s="25"/>
      <c r="B99" s="25"/>
      <c r="D99" s="25"/>
      <c r="E99" s="25"/>
      <c r="F99" s="25"/>
      <c r="G99" s="25"/>
      <c r="H99" s="25"/>
      <c r="I99" s="25"/>
      <c r="J99" s="25"/>
      <c r="K99" s="25"/>
    </row>
    <row r="100" spans="1:11" ht="15.75" customHeight="1">
      <c r="A100" s="25"/>
      <c r="B100" s="25"/>
      <c r="D100" s="25"/>
      <c r="E100" s="25"/>
      <c r="F100" s="25"/>
      <c r="G100" s="25"/>
      <c r="H100" s="25"/>
      <c r="I100" s="25"/>
      <c r="J100" s="25"/>
      <c r="K100" s="25"/>
    </row>
    <row r="101" spans="1:11" ht="15.75" customHeight="1">
      <c r="A101" s="25"/>
      <c r="B101" s="25"/>
      <c r="D101" s="25"/>
      <c r="E101" s="21"/>
      <c r="F101" s="25"/>
      <c r="G101" s="25"/>
      <c r="H101" s="25"/>
      <c r="I101" s="25"/>
      <c r="J101" s="25"/>
      <c r="K101" s="25"/>
    </row>
    <row r="102" spans="1:11" ht="15.75" customHeight="1">
      <c r="A102" s="25"/>
      <c r="B102" s="25"/>
      <c r="D102" s="25"/>
      <c r="E102" s="22"/>
      <c r="F102" s="25"/>
      <c r="G102" s="25"/>
      <c r="H102" s="25"/>
      <c r="I102" s="25"/>
      <c r="J102" s="25"/>
      <c r="K102" s="25"/>
    </row>
    <row r="103" spans="1:11" ht="15.75" customHeight="1">
      <c r="A103" s="25"/>
      <c r="B103" s="25"/>
      <c r="D103" s="25"/>
      <c r="E103" s="22" t="s">
        <v>5</v>
      </c>
      <c r="F103" s="25"/>
      <c r="G103" s="25"/>
      <c r="H103" s="25"/>
      <c r="I103" s="25"/>
      <c r="J103" s="25"/>
      <c r="K103" s="25"/>
    </row>
    <row r="104" spans="1:11" ht="15.75" customHeight="1">
      <c r="A104" s="25"/>
      <c r="B104" s="25"/>
      <c r="D104" s="25"/>
      <c r="E104" s="29"/>
      <c r="F104" s="25"/>
      <c r="G104" s="25"/>
      <c r="H104" s="25"/>
      <c r="I104" s="25"/>
      <c r="J104" s="25"/>
      <c r="K104" s="25"/>
    </row>
    <row r="105" spans="1:11" ht="15.75" customHeight="1">
      <c r="A105" s="25"/>
      <c r="B105" s="25"/>
      <c r="D105" s="25"/>
      <c r="E105" s="29"/>
      <c r="F105" s="25"/>
      <c r="G105" s="25"/>
      <c r="H105" s="25"/>
      <c r="I105" s="25"/>
      <c r="J105" s="25"/>
      <c r="K105" s="25"/>
    </row>
    <row r="106" spans="1:11" ht="15.75" customHeight="1">
      <c r="A106" s="25"/>
      <c r="B106" s="25"/>
      <c r="D106" s="25"/>
      <c r="E106" s="29"/>
      <c r="F106" s="25"/>
      <c r="G106" s="25"/>
      <c r="H106" s="25"/>
      <c r="I106" s="25"/>
      <c r="J106" s="25"/>
      <c r="K106" s="25"/>
    </row>
    <row r="107" spans="1:11" ht="15.75" customHeight="1">
      <c r="A107" s="25"/>
      <c r="B107" s="25"/>
      <c r="D107" s="25"/>
      <c r="E107" s="29"/>
      <c r="F107" s="25"/>
      <c r="G107" s="25"/>
      <c r="H107" s="25"/>
      <c r="I107" s="25"/>
      <c r="J107" s="25"/>
      <c r="K107" s="25"/>
    </row>
    <row r="108" spans="1:11" ht="15.75" customHeight="1">
      <c r="A108" s="25"/>
      <c r="B108" s="25"/>
      <c r="D108" s="25"/>
      <c r="E108" s="29"/>
      <c r="F108" s="25"/>
      <c r="G108" s="25"/>
      <c r="H108" s="25"/>
      <c r="I108" s="25"/>
      <c r="J108" s="25"/>
      <c r="K108" s="25"/>
    </row>
    <row r="109" spans="1:11" ht="15.75" customHeight="1">
      <c r="A109" s="25"/>
      <c r="B109" s="25"/>
      <c r="D109" s="25"/>
      <c r="E109" s="29"/>
      <c r="F109" s="25"/>
      <c r="G109" s="25"/>
      <c r="H109" s="25"/>
      <c r="I109" s="25"/>
      <c r="J109" s="25"/>
      <c r="K109" s="25"/>
    </row>
    <row r="110" spans="1:11" ht="15.75" customHeight="1">
      <c r="A110" s="25"/>
      <c r="B110" s="25"/>
      <c r="D110" s="25"/>
      <c r="E110" s="29"/>
      <c r="F110" s="25"/>
      <c r="G110" s="25"/>
      <c r="H110" s="25"/>
      <c r="I110" s="25"/>
      <c r="J110" s="25"/>
      <c r="K110" s="25"/>
    </row>
    <row r="111" spans="1:11" ht="15.75" customHeight="1">
      <c r="A111" s="25"/>
      <c r="B111" s="25"/>
      <c r="D111" s="25"/>
      <c r="E111" s="29"/>
      <c r="F111" s="25"/>
      <c r="G111" s="25"/>
      <c r="H111" s="25"/>
      <c r="I111" s="25"/>
      <c r="J111" s="25"/>
      <c r="K111" s="25"/>
    </row>
    <row r="112" spans="1:11" ht="15.75" customHeight="1">
      <c r="A112" s="25"/>
      <c r="B112" s="25"/>
      <c r="D112" s="25"/>
      <c r="E112" s="29"/>
      <c r="F112" s="25"/>
      <c r="G112" s="25"/>
      <c r="H112" s="25"/>
      <c r="I112" s="25"/>
      <c r="J112" s="25"/>
      <c r="K112" s="25"/>
    </row>
    <row r="113" spans="1:11" ht="15.75" customHeight="1">
      <c r="A113" s="25"/>
      <c r="B113" s="25"/>
      <c r="D113" s="25"/>
      <c r="E113" s="29"/>
      <c r="F113" s="25"/>
      <c r="G113" s="25"/>
      <c r="H113" s="25"/>
      <c r="I113" s="25"/>
      <c r="J113" s="25"/>
      <c r="K113" s="25"/>
    </row>
    <row r="114" spans="1:11" ht="15.75" customHeight="1">
      <c r="A114" s="25"/>
      <c r="B114" s="25"/>
      <c r="D114" s="25"/>
      <c r="E114" s="29"/>
      <c r="F114" s="25"/>
      <c r="G114" s="25"/>
      <c r="H114" s="25"/>
      <c r="I114" s="25"/>
      <c r="J114" s="25"/>
      <c r="K114" s="25"/>
    </row>
    <row r="115" spans="1:11" ht="15.75" customHeight="1">
      <c r="A115" s="25"/>
      <c r="B115" s="25"/>
      <c r="D115" s="25"/>
      <c r="E115" s="29"/>
      <c r="F115" s="25"/>
      <c r="G115" s="25"/>
      <c r="H115" s="25"/>
      <c r="I115" s="25"/>
      <c r="J115" s="25"/>
      <c r="K115" s="25"/>
    </row>
    <row r="116" spans="1:11" ht="15.75" customHeight="1">
      <c r="A116" s="25"/>
      <c r="B116" s="25"/>
      <c r="D116" s="25"/>
      <c r="E116" s="29"/>
      <c r="F116" s="25"/>
      <c r="G116" s="25"/>
      <c r="H116" s="25"/>
      <c r="I116" s="25"/>
      <c r="J116" s="25"/>
      <c r="K116" s="25"/>
    </row>
    <row r="117" spans="1:11" ht="15.75" customHeight="1">
      <c r="A117" s="25"/>
      <c r="B117" s="25"/>
      <c r="D117" s="25"/>
      <c r="E117" s="29"/>
      <c r="F117" s="25"/>
      <c r="G117" s="25"/>
      <c r="H117" s="25"/>
      <c r="I117" s="25"/>
      <c r="J117" s="25"/>
      <c r="K117" s="25"/>
    </row>
    <row r="118" spans="1:11" ht="15.75" customHeight="1">
      <c r="A118" s="25"/>
      <c r="B118" s="25"/>
      <c r="D118" s="25"/>
      <c r="E118" s="29"/>
      <c r="F118" s="25"/>
      <c r="G118" s="25"/>
      <c r="H118" s="25"/>
      <c r="I118" s="25"/>
      <c r="J118" s="25"/>
      <c r="K118" s="25"/>
    </row>
    <row r="119" spans="1:11" ht="15.75" customHeight="1">
      <c r="A119" s="25"/>
      <c r="B119" s="25"/>
      <c r="D119" s="25"/>
      <c r="E119" s="29"/>
      <c r="F119" s="25"/>
      <c r="G119" s="25"/>
      <c r="H119" s="25"/>
      <c r="I119" s="25"/>
      <c r="J119" s="25"/>
      <c r="K119" s="25"/>
    </row>
    <row r="120" spans="1:11" ht="15.75" customHeight="1">
      <c r="A120" s="25"/>
      <c r="B120" s="25"/>
      <c r="D120" s="25"/>
      <c r="E120" s="29"/>
      <c r="F120" s="25"/>
      <c r="G120" s="25"/>
      <c r="H120" s="25"/>
      <c r="I120" s="25"/>
      <c r="J120" s="25"/>
      <c r="K120" s="25"/>
    </row>
    <row r="121" spans="1:11" ht="15.75" customHeight="1">
      <c r="A121" s="25"/>
      <c r="B121" s="25"/>
      <c r="D121" s="25"/>
      <c r="E121" s="29"/>
      <c r="F121" s="25"/>
      <c r="G121" s="25"/>
      <c r="H121" s="25"/>
      <c r="I121" s="25"/>
      <c r="J121" s="25"/>
      <c r="K121" s="25"/>
    </row>
    <row r="122" spans="1:11" ht="15.75" customHeight="1">
      <c r="A122" s="25"/>
      <c r="B122" s="25"/>
      <c r="D122" s="25"/>
      <c r="E122" s="29"/>
      <c r="F122" s="25"/>
      <c r="G122" s="25"/>
      <c r="H122" s="25"/>
      <c r="I122" s="25"/>
      <c r="J122" s="25"/>
      <c r="K122" s="25"/>
    </row>
    <row r="123" spans="1:11" ht="15.75" customHeight="1">
      <c r="A123" s="25"/>
      <c r="B123" s="25"/>
      <c r="D123" s="25"/>
      <c r="E123" s="29"/>
      <c r="F123" s="25"/>
      <c r="G123" s="25"/>
      <c r="H123" s="25"/>
      <c r="I123" s="25"/>
      <c r="J123" s="25"/>
      <c r="K123" s="25"/>
    </row>
    <row r="124" spans="1:11" ht="15.75" customHeight="1">
      <c r="A124" s="25"/>
      <c r="B124" s="25"/>
      <c r="D124" s="25"/>
      <c r="E124" s="29"/>
      <c r="F124" s="25"/>
      <c r="G124" s="25"/>
      <c r="H124" s="25"/>
      <c r="I124" s="25"/>
      <c r="J124" s="25"/>
      <c r="K124" s="25"/>
    </row>
    <row r="125" spans="1:11" ht="15.75" customHeight="1">
      <c r="A125" s="25"/>
      <c r="B125" s="25"/>
      <c r="D125" s="25"/>
      <c r="E125" s="29"/>
      <c r="F125" s="25"/>
      <c r="G125" s="25"/>
      <c r="H125" s="25"/>
      <c r="I125" s="25"/>
      <c r="J125" s="25"/>
      <c r="K125" s="25"/>
    </row>
    <row r="126" spans="1:11" ht="15.75" customHeight="1">
      <c r="A126" s="25"/>
      <c r="B126" s="25"/>
      <c r="D126" s="25"/>
      <c r="E126" s="29"/>
      <c r="F126" s="25"/>
      <c r="G126" s="25"/>
      <c r="H126" s="25"/>
      <c r="I126" s="25"/>
      <c r="J126" s="25"/>
      <c r="K126" s="25"/>
    </row>
    <row r="127" spans="1:11" ht="15.75" customHeight="1">
      <c r="A127" s="25"/>
      <c r="B127" s="25"/>
      <c r="D127" s="25"/>
      <c r="E127" s="29"/>
      <c r="F127" s="25"/>
      <c r="G127" s="25"/>
      <c r="H127" s="25"/>
      <c r="I127" s="25"/>
      <c r="J127" s="25"/>
      <c r="K127" s="25"/>
    </row>
    <row r="128" spans="1:11" ht="15.75" customHeight="1">
      <c r="A128" s="25"/>
      <c r="B128" s="25"/>
      <c r="D128" s="25"/>
      <c r="E128" s="29"/>
      <c r="F128" s="25"/>
      <c r="G128" s="25"/>
      <c r="H128" s="25"/>
      <c r="I128" s="25"/>
      <c r="J128" s="25"/>
      <c r="K128" s="25"/>
    </row>
    <row r="129" spans="1:11" ht="15.75" customHeight="1">
      <c r="A129" s="25"/>
      <c r="B129" s="25"/>
      <c r="D129" s="25"/>
      <c r="E129" s="29"/>
      <c r="F129" s="25"/>
      <c r="G129" s="25"/>
      <c r="H129" s="25"/>
      <c r="I129" s="25"/>
      <c r="J129" s="25"/>
      <c r="K129" s="25"/>
    </row>
    <row r="130" spans="1:11" ht="15.75" customHeight="1">
      <c r="A130" s="25"/>
      <c r="B130" s="25"/>
      <c r="D130" s="25"/>
      <c r="E130" s="29"/>
      <c r="F130" s="25"/>
      <c r="G130" s="25"/>
      <c r="H130" s="25"/>
      <c r="I130" s="25"/>
      <c r="J130" s="25"/>
      <c r="K130" s="25"/>
    </row>
    <row r="131" spans="1:11" ht="15.75" customHeight="1">
      <c r="A131" s="25"/>
      <c r="B131" s="25"/>
      <c r="D131" s="25"/>
      <c r="E131" s="25"/>
      <c r="F131" s="25"/>
      <c r="G131" s="25"/>
      <c r="H131" s="25"/>
      <c r="I131" s="25"/>
      <c r="J131" s="25"/>
      <c r="K131" s="25"/>
    </row>
    <row r="132" spans="1:11" ht="15.75" customHeight="1">
      <c r="A132" s="25"/>
      <c r="B132" s="25"/>
      <c r="D132" s="25"/>
      <c r="E132" s="25"/>
      <c r="F132" s="25"/>
      <c r="G132" s="25"/>
      <c r="H132" s="25"/>
      <c r="I132" s="25"/>
      <c r="J132" s="25"/>
      <c r="K132" s="25"/>
    </row>
    <row r="133" spans="1:11" ht="15.75" customHeight="1">
      <c r="A133" s="25"/>
      <c r="B133" s="25"/>
      <c r="D133" s="25"/>
      <c r="E133" s="25"/>
      <c r="F133" s="25"/>
      <c r="G133" s="25"/>
      <c r="H133" s="25"/>
      <c r="I133" s="25"/>
      <c r="J133" s="25"/>
      <c r="K133" s="25"/>
    </row>
    <row r="134" spans="1:11" ht="15.75" customHeight="1">
      <c r="A134" s="25"/>
      <c r="B134" s="25"/>
      <c r="D134" s="25"/>
      <c r="E134" s="25"/>
      <c r="F134" s="25"/>
      <c r="G134" s="25"/>
      <c r="H134" s="25"/>
      <c r="I134" s="25"/>
      <c r="J134" s="25"/>
      <c r="K134" s="25"/>
    </row>
    <row r="135" spans="1:11" ht="15.75" customHeight="1">
      <c r="A135" s="25"/>
      <c r="B135" s="25"/>
      <c r="D135" s="25"/>
      <c r="E135" s="25"/>
      <c r="F135" s="25"/>
      <c r="G135" s="25"/>
      <c r="H135" s="25"/>
      <c r="I135" s="25"/>
      <c r="J135" s="25"/>
      <c r="K135" s="25"/>
    </row>
    <row r="136" spans="1:11" ht="15.75" customHeight="1">
      <c r="A136" s="25"/>
      <c r="B136" s="25"/>
      <c r="D136" s="25"/>
      <c r="E136" s="25"/>
      <c r="F136" s="25"/>
      <c r="G136" s="25"/>
      <c r="H136" s="25"/>
      <c r="I136" s="25"/>
      <c r="J136" s="25"/>
      <c r="K136" s="25"/>
    </row>
    <row r="137" spans="1:11" ht="15.75" customHeight="1">
      <c r="A137" s="25"/>
      <c r="B137" s="25"/>
      <c r="D137" s="25"/>
      <c r="E137" s="25"/>
      <c r="F137" s="25"/>
      <c r="G137" s="25"/>
      <c r="H137" s="25"/>
      <c r="I137" s="25"/>
      <c r="J137" s="25"/>
      <c r="K137" s="25"/>
    </row>
    <row r="138" spans="1:11" ht="15.75" customHeight="1">
      <c r="A138" s="25"/>
      <c r="B138" s="25"/>
      <c r="D138" s="25"/>
      <c r="E138" s="25"/>
      <c r="F138" s="25"/>
      <c r="G138" s="25"/>
      <c r="H138" s="25"/>
      <c r="I138" s="25"/>
      <c r="J138" s="25"/>
      <c r="K138" s="25"/>
    </row>
    <row r="139" spans="1:11" ht="15.75" customHeight="1">
      <c r="A139" s="25"/>
      <c r="B139" s="25"/>
      <c r="D139" s="25"/>
      <c r="E139" s="25"/>
      <c r="F139" s="25"/>
      <c r="G139" s="25"/>
      <c r="H139" s="25"/>
      <c r="I139" s="25"/>
      <c r="J139" s="25"/>
      <c r="K139" s="25"/>
    </row>
    <row r="140" spans="1:11" ht="15.75" customHeight="1">
      <c r="A140" s="25"/>
      <c r="B140" s="25"/>
      <c r="D140" s="25"/>
      <c r="E140" s="25"/>
      <c r="F140" s="25"/>
      <c r="G140" s="25"/>
      <c r="H140" s="25"/>
      <c r="I140" s="25"/>
      <c r="J140" s="25"/>
      <c r="K140" s="25"/>
    </row>
    <row r="141" spans="1:11" ht="15.75" customHeight="1">
      <c r="A141" s="25"/>
      <c r="B141" s="25"/>
      <c r="D141" s="25"/>
      <c r="E141" s="25"/>
      <c r="F141" s="25"/>
      <c r="G141" s="25"/>
      <c r="H141" s="25"/>
      <c r="I141" s="25"/>
      <c r="J141" s="25"/>
      <c r="K141" s="25"/>
    </row>
    <row r="142" spans="1:11" ht="15.75" customHeight="1">
      <c r="A142" s="25"/>
      <c r="B142" s="25"/>
      <c r="D142" s="25"/>
      <c r="E142" s="25"/>
      <c r="F142" s="25"/>
      <c r="G142" s="25"/>
      <c r="H142" s="25"/>
      <c r="I142" s="25"/>
      <c r="J142" s="25"/>
      <c r="K142" s="25"/>
    </row>
    <row r="143" spans="1:11" ht="15.75" customHeight="1">
      <c r="A143" s="25"/>
      <c r="B143" s="25"/>
      <c r="D143" s="25"/>
      <c r="E143" s="25"/>
      <c r="F143" s="25"/>
      <c r="G143" s="25"/>
      <c r="H143" s="25"/>
      <c r="I143" s="25"/>
      <c r="J143" s="25"/>
      <c r="K143" s="25"/>
    </row>
    <row r="144" spans="1:11" ht="15.75" customHeight="1">
      <c r="A144" s="25"/>
      <c r="B144" s="25"/>
      <c r="D144" s="25"/>
      <c r="E144" s="25"/>
      <c r="F144" s="25"/>
      <c r="G144" s="25"/>
      <c r="H144" s="25"/>
      <c r="I144" s="25"/>
      <c r="J144" s="25"/>
      <c r="K144" s="25"/>
    </row>
    <row r="145" spans="1:11" ht="15.75" customHeight="1">
      <c r="A145" s="25"/>
      <c r="B145" s="25"/>
      <c r="D145" s="25"/>
      <c r="E145" s="25"/>
      <c r="F145" s="25"/>
      <c r="G145" s="25"/>
      <c r="H145" s="25"/>
      <c r="I145" s="25"/>
      <c r="J145" s="25"/>
      <c r="K145" s="25"/>
    </row>
    <row r="146" spans="1:11" ht="15.75" customHeight="1">
      <c r="A146" s="25"/>
      <c r="B146" s="25"/>
      <c r="D146" s="25"/>
      <c r="E146" s="25"/>
      <c r="F146" s="25"/>
      <c r="G146" s="25"/>
      <c r="H146" s="25"/>
      <c r="I146" s="25"/>
      <c r="J146" s="25"/>
      <c r="K146" s="25"/>
    </row>
    <row r="147" spans="1:11" ht="15.75" customHeight="1">
      <c r="A147" s="25"/>
      <c r="B147" s="25"/>
      <c r="D147" s="25"/>
      <c r="E147" s="25"/>
      <c r="F147" s="25"/>
      <c r="G147" s="25"/>
      <c r="H147" s="25"/>
      <c r="I147" s="25"/>
      <c r="J147" s="25"/>
      <c r="K147" s="25"/>
    </row>
    <row r="148" spans="1:11" ht="15.75" customHeight="1">
      <c r="A148" s="25"/>
      <c r="B148" s="25"/>
      <c r="D148" s="25"/>
      <c r="E148" s="25"/>
      <c r="F148" s="25"/>
      <c r="G148" s="25"/>
      <c r="H148" s="25"/>
      <c r="I148" s="25"/>
      <c r="J148" s="25"/>
      <c r="K148" s="25"/>
    </row>
    <row r="149" spans="1:11" ht="15.75" customHeight="1">
      <c r="A149" s="25"/>
      <c r="B149" s="25"/>
      <c r="D149" s="25"/>
      <c r="E149" s="25"/>
      <c r="F149" s="25"/>
      <c r="G149" s="25"/>
      <c r="H149" s="25"/>
      <c r="I149" s="25"/>
      <c r="J149" s="25"/>
      <c r="K149" s="25"/>
    </row>
    <row r="150" spans="1:11" ht="15.75" customHeight="1">
      <c r="A150" s="25"/>
      <c r="B150" s="25"/>
      <c r="D150" s="25"/>
      <c r="E150" s="25"/>
      <c r="F150" s="25"/>
      <c r="G150" s="25"/>
      <c r="H150" s="25"/>
      <c r="I150" s="25"/>
      <c r="J150" s="25"/>
      <c r="K150" s="25"/>
    </row>
    <row r="151" spans="1:11" ht="15.75" customHeight="1">
      <c r="A151" s="25"/>
      <c r="B151" s="25"/>
      <c r="D151" s="25"/>
      <c r="E151" s="21"/>
      <c r="F151" s="25"/>
      <c r="G151" s="25"/>
      <c r="H151" s="25"/>
      <c r="I151" s="25"/>
      <c r="J151" s="25"/>
      <c r="K151" s="25"/>
    </row>
    <row r="152" spans="1:11" ht="15.75" customHeight="1">
      <c r="A152" s="25"/>
      <c r="B152" s="25"/>
      <c r="D152" s="25"/>
      <c r="E152" s="22"/>
      <c r="F152" s="25"/>
      <c r="G152" s="25"/>
      <c r="H152" s="25"/>
      <c r="I152" s="25"/>
      <c r="J152" s="25"/>
      <c r="K152" s="25"/>
    </row>
    <row r="153" spans="1:11" ht="15.75" customHeight="1">
      <c r="A153" s="25"/>
      <c r="B153" s="25"/>
      <c r="D153" s="25"/>
      <c r="E153" s="22" t="s">
        <v>5</v>
      </c>
      <c r="F153" s="25"/>
      <c r="G153" s="25"/>
      <c r="H153" s="25"/>
      <c r="I153" s="25"/>
      <c r="J153" s="25"/>
      <c r="K153" s="25"/>
    </row>
    <row r="154" spans="1:11" ht="15.75" customHeight="1">
      <c r="A154" s="25"/>
      <c r="B154" s="25"/>
      <c r="D154" s="25"/>
      <c r="E154" s="29"/>
      <c r="F154" s="25"/>
      <c r="G154" s="25"/>
      <c r="H154" s="25"/>
      <c r="I154" s="25"/>
      <c r="J154" s="25"/>
      <c r="K154" s="25"/>
    </row>
    <row r="155" spans="1:11" ht="15.75" customHeight="1">
      <c r="A155" s="25"/>
      <c r="B155" s="25"/>
      <c r="D155" s="25"/>
      <c r="E155" s="29"/>
      <c r="F155" s="25"/>
      <c r="G155" s="25"/>
      <c r="H155" s="25"/>
      <c r="I155" s="25"/>
      <c r="J155" s="25"/>
      <c r="K155" s="25"/>
    </row>
    <row r="156" spans="1:11" ht="15.75" customHeight="1">
      <c r="A156" s="25"/>
      <c r="B156" s="25"/>
      <c r="D156" s="25"/>
      <c r="E156" s="29"/>
      <c r="F156" s="25"/>
      <c r="G156" s="25"/>
      <c r="H156" s="25"/>
      <c r="I156" s="25"/>
      <c r="J156" s="25"/>
      <c r="K156" s="25"/>
    </row>
    <row r="157" spans="1:11" ht="15.75" customHeight="1">
      <c r="A157" s="25"/>
      <c r="B157" s="25"/>
      <c r="D157" s="25"/>
      <c r="E157" s="29"/>
      <c r="F157" s="25"/>
      <c r="G157" s="25"/>
      <c r="H157" s="25"/>
      <c r="I157" s="25"/>
      <c r="J157" s="25"/>
      <c r="K157" s="25"/>
    </row>
    <row r="158" spans="1:11" ht="15.75" customHeight="1">
      <c r="A158" s="25"/>
      <c r="B158" s="25"/>
      <c r="D158" s="25"/>
      <c r="E158" s="29"/>
      <c r="F158" s="25"/>
      <c r="G158" s="25"/>
      <c r="H158" s="25"/>
      <c r="I158" s="25"/>
      <c r="J158" s="25"/>
      <c r="K158" s="25"/>
    </row>
    <row r="159" spans="1:11" ht="15.75" customHeight="1">
      <c r="A159" s="25"/>
      <c r="B159" s="25"/>
      <c r="D159" s="25"/>
      <c r="E159" s="29"/>
      <c r="F159" s="25"/>
      <c r="G159" s="25"/>
      <c r="H159" s="25"/>
      <c r="I159" s="25"/>
      <c r="J159" s="25"/>
      <c r="K159" s="25"/>
    </row>
    <row r="160" spans="1:11" ht="15.75" customHeight="1">
      <c r="A160" s="25"/>
      <c r="B160" s="25"/>
      <c r="D160" s="25"/>
      <c r="E160" s="29"/>
      <c r="F160" s="25"/>
      <c r="G160" s="25"/>
      <c r="H160" s="25"/>
      <c r="I160" s="25"/>
      <c r="J160" s="25"/>
      <c r="K160" s="25"/>
    </row>
    <row r="161" spans="1:11" ht="15.75" customHeight="1">
      <c r="A161" s="25"/>
      <c r="B161" s="25"/>
      <c r="D161" s="25"/>
      <c r="E161" s="29"/>
      <c r="F161" s="25"/>
      <c r="G161" s="25"/>
      <c r="H161" s="25"/>
      <c r="I161" s="25"/>
      <c r="J161" s="25"/>
      <c r="K161" s="25"/>
    </row>
    <row r="162" spans="1:11" ht="15.75" customHeight="1">
      <c r="A162" s="25"/>
      <c r="B162" s="25"/>
      <c r="D162" s="25"/>
      <c r="E162" s="29"/>
      <c r="F162" s="25"/>
      <c r="G162" s="25"/>
      <c r="H162" s="25"/>
      <c r="I162" s="25"/>
      <c r="J162" s="25"/>
      <c r="K162" s="25"/>
    </row>
    <row r="163" spans="1:11" ht="15.75" customHeight="1">
      <c r="A163" s="25"/>
      <c r="B163" s="25"/>
      <c r="D163" s="25"/>
      <c r="E163" s="29"/>
      <c r="F163" s="25"/>
      <c r="G163" s="25"/>
      <c r="H163" s="25"/>
      <c r="I163" s="25"/>
      <c r="J163" s="25"/>
      <c r="K163" s="25"/>
    </row>
    <row r="164" spans="1:11" ht="15.75" customHeight="1">
      <c r="A164" s="25"/>
      <c r="B164" s="25"/>
      <c r="D164" s="25"/>
      <c r="E164" s="29"/>
      <c r="F164" s="25"/>
      <c r="G164" s="25"/>
      <c r="H164" s="25"/>
      <c r="I164" s="25"/>
      <c r="J164" s="25"/>
      <c r="K164" s="25"/>
    </row>
    <row r="165" spans="1:11" ht="15.75" customHeight="1">
      <c r="A165" s="25"/>
      <c r="B165" s="25"/>
      <c r="D165" s="25"/>
      <c r="E165" s="29"/>
      <c r="F165" s="25"/>
      <c r="G165" s="25"/>
      <c r="H165" s="25"/>
      <c r="I165" s="25"/>
      <c r="J165" s="25"/>
      <c r="K165" s="25"/>
    </row>
    <row r="166" spans="1:11" ht="15.75" customHeight="1">
      <c r="A166" s="25"/>
      <c r="B166" s="25"/>
      <c r="D166" s="25"/>
      <c r="E166" s="29"/>
      <c r="F166" s="25"/>
      <c r="G166" s="25"/>
      <c r="H166" s="25"/>
      <c r="I166" s="25"/>
      <c r="J166" s="25"/>
      <c r="K166" s="25"/>
    </row>
    <row r="167" spans="1:11" ht="15.75" customHeight="1">
      <c r="A167" s="25"/>
      <c r="B167" s="25"/>
      <c r="D167" s="25"/>
      <c r="E167" s="29"/>
      <c r="F167" s="25"/>
      <c r="G167" s="25"/>
      <c r="H167" s="25"/>
      <c r="I167" s="25"/>
      <c r="J167" s="25"/>
      <c r="K167" s="25"/>
    </row>
    <row r="168" spans="1:11" ht="15.75" customHeight="1">
      <c r="A168" s="25"/>
      <c r="B168" s="25"/>
      <c r="D168" s="25"/>
      <c r="E168" s="29"/>
      <c r="F168" s="25"/>
      <c r="G168" s="25"/>
      <c r="H168" s="25"/>
      <c r="I168" s="25"/>
      <c r="J168" s="25"/>
      <c r="K168" s="25"/>
    </row>
    <row r="169" spans="1:11" ht="15.75" customHeight="1">
      <c r="A169" s="25"/>
      <c r="B169" s="25"/>
      <c r="D169" s="25"/>
      <c r="E169" s="29"/>
      <c r="F169" s="25"/>
      <c r="G169" s="25"/>
      <c r="H169" s="25"/>
      <c r="I169" s="25"/>
      <c r="J169" s="25"/>
      <c r="K169" s="25"/>
    </row>
    <row r="170" spans="1:11" ht="15.75" customHeight="1">
      <c r="A170" s="25"/>
      <c r="B170" s="25"/>
      <c r="D170" s="25"/>
      <c r="E170" s="29"/>
      <c r="F170" s="25"/>
      <c r="G170" s="25"/>
      <c r="H170" s="25"/>
      <c r="I170" s="25"/>
      <c r="J170" s="25"/>
      <c r="K170" s="25"/>
    </row>
    <row r="171" spans="1:11" ht="15.75" customHeight="1">
      <c r="A171" s="25"/>
      <c r="B171" s="25"/>
      <c r="D171" s="25"/>
      <c r="E171" s="29"/>
      <c r="F171" s="25"/>
      <c r="G171" s="25"/>
      <c r="H171" s="25"/>
      <c r="I171" s="25"/>
      <c r="J171" s="25"/>
      <c r="K171" s="25"/>
    </row>
    <row r="172" spans="1:11" ht="15.75" customHeight="1">
      <c r="A172" s="25"/>
      <c r="B172" s="25"/>
      <c r="D172" s="25"/>
      <c r="E172" s="29"/>
      <c r="F172" s="25"/>
      <c r="G172" s="25"/>
      <c r="H172" s="25"/>
      <c r="I172" s="25"/>
      <c r="J172" s="25"/>
      <c r="K172" s="25"/>
    </row>
    <row r="173" spans="1:11" ht="15.75" customHeight="1">
      <c r="A173" s="25"/>
      <c r="B173" s="25"/>
      <c r="D173" s="25"/>
      <c r="E173" s="29"/>
      <c r="F173" s="25"/>
      <c r="G173" s="25"/>
      <c r="H173" s="25"/>
      <c r="I173" s="25"/>
      <c r="J173" s="25"/>
      <c r="K173" s="25"/>
    </row>
    <row r="174" spans="1:11" ht="15.75" customHeight="1">
      <c r="A174" s="25"/>
      <c r="B174" s="25"/>
      <c r="D174" s="25"/>
      <c r="E174" s="29"/>
      <c r="F174" s="25"/>
      <c r="G174" s="25"/>
      <c r="H174" s="25"/>
      <c r="I174" s="25"/>
      <c r="J174" s="25"/>
      <c r="K174" s="25"/>
    </row>
    <row r="175" spans="1:11" ht="15.75" customHeight="1">
      <c r="A175" s="25"/>
      <c r="B175" s="25"/>
      <c r="D175" s="25"/>
      <c r="E175" s="29"/>
      <c r="F175" s="25"/>
      <c r="G175" s="25"/>
      <c r="H175" s="25"/>
      <c r="I175" s="25"/>
      <c r="J175" s="25"/>
      <c r="K175" s="25"/>
    </row>
    <row r="176" spans="1:11" ht="15.75" customHeight="1">
      <c r="A176" s="25"/>
      <c r="B176" s="25"/>
      <c r="D176" s="25"/>
      <c r="E176" s="29"/>
      <c r="F176" s="25"/>
      <c r="G176" s="25"/>
      <c r="H176" s="25"/>
      <c r="I176" s="25"/>
      <c r="J176" s="25"/>
      <c r="K176" s="25"/>
    </row>
    <row r="177" spans="1:11" ht="15.75" customHeight="1">
      <c r="A177" s="25"/>
      <c r="B177" s="25"/>
      <c r="D177" s="25"/>
      <c r="E177" s="29"/>
      <c r="F177" s="25"/>
      <c r="G177" s="25"/>
      <c r="H177" s="25"/>
      <c r="I177" s="25"/>
      <c r="J177" s="25"/>
      <c r="K177" s="25"/>
    </row>
    <row r="178" spans="1:11" ht="15.75" customHeight="1">
      <c r="A178" s="25"/>
      <c r="B178" s="25"/>
      <c r="D178" s="25"/>
      <c r="E178" s="29"/>
      <c r="F178" s="25"/>
      <c r="G178" s="25"/>
      <c r="H178" s="25"/>
      <c r="I178" s="25"/>
      <c r="J178" s="25"/>
      <c r="K178" s="25"/>
    </row>
    <row r="179" spans="1:11" ht="15.75" customHeight="1">
      <c r="A179" s="25"/>
      <c r="B179" s="25"/>
      <c r="D179" s="25"/>
      <c r="E179" s="29"/>
      <c r="F179" s="25"/>
      <c r="G179" s="25"/>
      <c r="H179" s="25"/>
      <c r="I179" s="25"/>
      <c r="J179" s="25"/>
      <c r="K179" s="25"/>
    </row>
    <row r="180" spans="1:11" ht="15.75" customHeight="1">
      <c r="A180" s="25"/>
      <c r="B180" s="25"/>
      <c r="D180" s="25"/>
      <c r="E180" s="29"/>
      <c r="F180" s="25"/>
      <c r="G180" s="25"/>
      <c r="H180" s="25"/>
      <c r="I180" s="25"/>
      <c r="J180" s="25"/>
      <c r="K180" s="25"/>
    </row>
    <row r="181" spans="1:11" ht="15.75" customHeight="1">
      <c r="A181" s="25"/>
      <c r="B181" s="25"/>
      <c r="D181" s="25"/>
      <c r="E181" s="25"/>
      <c r="F181" s="25"/>
      <c r="G181" s="25"/>
      <c r="H181" s="25"/>
      <c r="I181" s="25"/>
      <c r="J181" s="25"/>
      <c r="K181" s="25"/>
    </row>
    <row r="182" spans="1:11" ht="15.75" customHeight="1">
      <c r="A182" s="25"/>
      <c r="B182" s="25"/>
      <c r="D182" s="25"/>
      <c r="E182" s="25"/>
      <c r="F182" s="25"/>
      <c r="G182" s="25"/>
      <c r="H182" s="25"/>
      <c r="I182" s="25"/>
      <c r="J182" s="25"/>
      <c r="K182" s="25"/>
    </row>
    <row r="183" spans="1:11" ht="15.75" customHeight="1">
      <c r="A183" s="25"/>
      <c r="B183" s="25"/>
      <c r="D183" s="25"/>
      <c r="E183" s="25"/>
      <c r="F183" s="25"/>
      <c r="G183" s="25"/>
      <c r="H183" s="25"/>
      <c r="I183" s="25"/>
      <c r="J183" s="25"/>
      <c r="K183" s="25"/>
    </row>
    <row r="184" spans="1:11" ht="15.75" customHeight="1">
      <c r="A184" s="25"/>
      <c r="B184" s="25"/>
      <c r="D184" s="25"/>
      <c r="E184" s="25"/>
      <c r="F184" s="25"/>
      <c r="G184" s="25"/>
      <c r="H184" s="25"/>
      <c r="I184" s="25"/>
      <c r="J184" s="25"/>
      <c r="K184" s="25"/>
    </row>
    <row r="185" spans="1:11" ht="15.75" customHeight="1">
      <c r="A185" s="25"/>
      <c r="B185" s="25"/>
      <c r="D185" s="25"/>
      <c r="E185" s="25"/>
      <c r="F185" s="25"/>
      <c r="G185" s="25"/>
      <c r="H185" s="25"/>
      <c r="I185" s="25"/>
      <c r="J185" s="25"/>
      <c r="K185" s="25"/>
    </row>
    <row r="186" spans="1:11" ht="15.75" customHeight="1">
      <c r="A186" s="25"/>
      <c r="B186" s="25"/>
      <c r="D186" s="25"/>
      <c r="E186" s="25"/>
      <c r="F186" s="25"/>
      <c r="G186" s="25"/>
      <c r="H186" s="25"/>
      <c r="I186" s="25"/>
      <c r="J186" s="25"/>
      <c r="K186" s="25"/>
    </row>
    <row r="187" spans="1:11" ht="15.75" customHeight="1">
      <c r="A187" s="25"/>
      <c r="B187" s="25"/>
      <c r="D187" s="25"/>
      <c r="E187" s="25"/>
      <c r="F187" s="25"/>
      <c r="G187" s="25"/>
      <c r="H187" s="25"/>
      <c r="I187" s="25"/>
      <c r="J187" s="25"/>
      <c r="K187" s="25"/>
    </row>
    <row r="188" spans="1:11" ht="15.75" customHeight="1">
      <c r="A188" s="25"/>
      <c r="B188" s="25"/>
      <c r="D188" s="25"/>
      <c r="E188" s="25"/>
      <c r="F188" s="25"/>
      <c r="G188" s="25"/>
      <c r="H188" s="25"/>
      <c r="I188" s="25"/>
      <c r="J188" s="25"/>
      <c r="K188" s="25"/>
    </row>
    <row r="189" spans="1:11" ht="15.75" customHeight="1">
      <c r="E189" s="25"/>
    </row>
    <row r="190" spans="1:11" ht="15.75" customHeight="1">
      <c r="E190" s="25"/>
    </row>
    <row r="191" spans="1:11" ht="15.75" customHeight="1">
      <c r="E191" s="25"/>
    </row>
    <row r="192" spans="1:11" ht="15.75" customHeight="1">
      <c r="E192" s="25"/>
    </row>
    <row r="193" spans="5:5" ht="15.75" customHeight="1">
      <c r="E193" s="25"/>
    </row>
    <row r="194" spans="5:5" ht="15.75" customHeight="1">
      <c r="E194" s="25"/>
    </row>
    <row r="195" spans="5:5" ht="15.75" customHeight="1">
      <c r="E195" s="25"/>
    </row>
    <row r="196" spans="5:5" ht="15.75" customHeight="1">
      <c r="E196" s="25"/>
    </row>
    <row r="197" spans="5:5" ht="15.75" customHeight="1">
      <c r="E197" s="25"/>
    </row>
    <row r="198" spans="5:5" ht="15.75" customHeight="1">
      <c r="E198" s="25"/>
    </row>
    <row r="199" spans="5:5" ht="15.75" customHeight="1">
      <c r="E199" s="25"/>
    </row>
    <row r="200" spans="5:5" ht="15.75" customHeight="1">
      <c r="E200" s="25"/>
    </row>
    <row r="201" spans="5:5" ht="15.75" customHeight="1">
      <c r="E201" s="21"/>
    </row>
    <row r="202" spans="5:5" ht="15.75" customHeight="1">
      <c r="E202" s="22"/>
    </row>
    <row r="203" spans="5:5" ht="15.75" customHeight="1">
      <c r="E203" s="22" t="s">
        <v>5</v>
      </c>
    </row>
    <row r="204" spans="5:5" ht="15.75" customHeight="1">
      <c r="E204" s="29"/>
    </row>
    <row r="205" spans="5:5" ht="15.75" customHeight="1">
      <c r="E205" s="29"/>
    </row>
    <row r="206" spans="5:5" ht="15.75" customHeight="1">
      <c r="E206" s="29"/>
    </row>
    <row r="207" spans="5:5" ht="15.75" customHeight="1">
      <c r="E207" s="29"/>
    </row>
    <row r="208" spans="5:5" ht="15.75" customHeight="1">
      <c r="E208" s="29"/>
    </row>
    <row r="209" spans="5:5" ht="15.75" customHeight="1">
      <c r="E209" s="29"/>
    </row>
    <row r="210" spans="5:5" ht="15.75" customHeight="1">
      <c r="E210" s="29"/>
    </row>
    <row r="211" spans="5:5" ht="15.75" customHeight="1">
      <c r="E211" s="29"/>
    </row>
    <row r="212" spans="5:5" ht="15.75" customHeight="1">
      <c r="E212" s="29"/>
    </row>
    <row r="213" spans="5:5" ht="15.75" customHeight="1">
      <c r="E213" s="29"/>
    </row>
    <row r="214" spans="5:5" ht="15.75" customHeight="1">
      <c r="E214" s="29"/>
    </row>
    <row r="215" spans="5:5" ht="15.75" customHeight="1">
      <c r="E215" s="29"/>
    </row>
    <row r="216" spans="5:5" ht="15.75" customHeight="1">
      <c r="E216" s="29"/>
    </row>
    <row r="217" spans="5:5" ht="15.75" customHeight="1">
      <c r="E217" s="29"/>
    </row>
    <row r="218" spans="5:5" ht="15.75" customHeight="1">
      <c r="E218" s="29"/>
    </row>
    <row r="219" spans="5:5" ht="15.75" customHeight="1">
      <c r="E219" s="29"/>
    </row>
    <row r="220" spans="5:5" ht="15.75" customHeight="1">
      <c r="E220" s="29"/>
    </row>
    <row r="221" spans="5:5" ht="15.75" customHeight="1">
      <c r="E221" s="29"/>
    </row>
    <row r="222" spans="5:5" ht="15.75" customHeight="1">
      <c r="E222" s="29"/>
    </row>
    <row r="223" spans="5:5" ht="15.75" customHeight="1">
      <c r="E223" s="29"/>
    </row>
    <row r="224" spans="5:5" ht="15.75" customHeight="1">
      <c r="E224" s="29"/>
    </row>
    <row r="225" spans="5:5" ht="15.75" customHeight="1">
      <c r="E225" s="29"/>
    </row>
    <row r="226" spans="5:5" ht="15.75" customHeight="1">
      <c r="E226" s="29"/>
    </row>
    <row r="227" spans="5:5" ht="15.75" customHeight="1">
      <c r="E227" s="29"/>
    </row>
    <row r="228" spans="5:5" ht="15.75" customHeight="1">
      <c r="E228" s="29"/>
    </row>
    <row r="229" spans="5:5" ht="15.75" customHeight="1">
      <c r="E229" s="29"/>
    </row>
    <row r="230" spans="5:5" ht="15.75" customHeight="1">
      <c r="E230" s="29"/>
    </row>
    <row r="231" spans="5:5" ht="15.75" customHeight="1">
      <c r="E231" s="25"/>
    </row>
    <row r="232" spans="5:5" ht="15.75" customHeight="1">
      <c r="E232" s="25"/>
    </row>
    <row r="233" spans="5:5" ht="15.75" customHeight="1">
      <c r="E233" s="25"/>
    </row>
    <row r="234" spans="5:5" ht="15.75" customHeight="1">
      <c r="E234" s="25"/>
    </row>
    <row r="235" spans="5:5" ht="15.75" customHeight="1">
      <c r="E235" s="25"/>
    </row>
    <row r="236" spans="5:5" ht="15.75" customHeight="1">
      <c r="E236" s="25"/>
    </row>
    <row r="237" spans="5:5" ht="15.75" customHeight="1">
      <c r="E237" s="25"/>
    </row>
    <row r="238" spans="5:5" ht="15.75" customHeight="1">
      <c r="E238" s="25"/>
    </row>
    <row r="239" spans="5:5" ht="15.75" customHeight="1">
      <c r="E239" s="25"/>
    </row>
    <row r="240" spans="5:5" ht="15.75" customHeight="1">
      <c r="E240" s="25"/>
    </row>
    <row r="241" spans="5:5" ht="15.75" customHeight="1">
      <c r="E241" s="25"/>
    </row>
    <row r="242" spans="5:5" ht="15.75" customHeight="1">
      <c r="E242" s="25"/>
    </row>
    <row r="243" spans="5:5" ht="15.75" customHeight="1">
      <c r="E243" s="25"/>
    </row>
    <row r="244" spans="5:5" ht="15.75" customHeight="1">
      <c r="E244" s="25"/>
    </row>
    <row r="245" spans="5:5" ht="15.75" customHeight="1">
      <c r="E245" s="25"/>
    </row>
    <row r="246" spans="5:5" ht="15.75" customHeight="1">
      <c r="E246" s="25"/>
    </row>
    <row r="247" spans="5:5" ht="15.75" customHeight="1">
      <c r="E247" s="25"/>
    </row>
    <row r="248" spans="5:5" ht="15.75" customHeight="1">
      <c r="E248" s="25"/>
    </row>
    <row r="249" spans="5:5" ht="15.75" customHeight="1">
      <c r="E249" s="25"/>
    </row>
    <row r="250" spans="5:5" ht="15.75" customHeight="1">
      <c r="E250" s="25"/>
    </row>
    <row r="251" spans="5:5" ht="15.75" customHeight="1">
      <c r="E251" s="21"/>
    </row>
    <row r="252" spans="5:5" ht="15.75" customHeight="1">
      <c r="E252" s="22"/>
    </row>
    <row r="253" spans="5:5" ht="15.75" customHeight="1">
      <c r="E253" s="22" t="s">
        <v>5</v>
      </c>
    </row>
    <row r="254" spans="5:5" ht="15.75" customHeight="1">
      <c r="E254" s="29"/>
    </row>
    <row r="255" spans="5:5" ht="15.75" customHeight="1">
      <c r="E255" s="29"/>
    </row>
    <row r="256" spans="5:5" ht="15.75" customHeight="1">
      <c r="E256" s="29"/>
    </row>
    <row r="257" spans="5:5" ht="15.75" customHeight="1">
      <c r="E257" s="29"/>
    </row>
    <row r="258" spans="5:5" ht="15.75" customHeight="1">
      <c r="E258" s="29"/>
    </row>
    <row r="259" spans="5:5" ht="15.75" customHeight="1">
      <c r="E259" s="29"/>
    </row>
    <row r="260" spans="5:5" ht="15.75" customHeight="1">
      <c r="E260" s="29"/>
    </row>
    <row r="261" spans="5:5" ht="15.75" customHeight="1">
      <c r="E261" s="29"/>
    </row>
    <row r="262" spans="5:5" ht="15.75" customHeight="1">
      <c r="E262" s="29"/>
    </row>
    <row r="263" spans="5:5" ht="15.75" customHeight="1">
      <c r="E263" s="29"/>
    </row>
    <row r="264" spans="5:5" ht="15.75" customHeight="1">
      <c r="E264" s="29"/>
    </row>
    <row r="265" spans="5:5" ht="15.75" customHeight="1">
      <c r="E265" s="29"/>
    </row>
    <row r="266" spans="5:5" ht="15.75" customHeight="1">
      <c r="E266" s="29"/>
    </row>
    <row r="267" spans="5:5" ht="15.75" customHeight="1">
      <c r="E267" s="29"/>
    </row>
    <row r="268" spans="5:5" ht="15.75" customHeight="1">
      <c r="E268" s="29"/>
    </row>
    <row r="269" spans="5:5" ht="15.75" customHeight="1">
      <c r="E269" s="29"/>
    </row>
    <row r="270" spans="5:5" ht="15.75" customHeight="1">
      <c r="E270" s="29"/>
    </row>
    <row r="271" spans="5:5" ht="15.75" customHeight="1">
      <c r="E271" s="29"/>
    </row>
    <row r="272" spans="5:5" ht="15.75" customHeight="1">
      <c r="E272" s="29"/>
    </row>
    <row r="273" spans="5:5" ht="15.75" customHeight="1">
      <c r="E273" s="29"/>
    </row>
    <row r="274" spans="5:5" ht="15.75" customHeight="1">
      <c r="E274" s="29"/>
    </row>
    <row r="275" spans="5:5" ht="15.75" customHeight="1">
      <c r="E275" s="29"/>
    </row>
    <row r="276" spans="5:5" ht="15.75" customHeight="1">
      <c r="E276" s="29"/>
    </row>
    <row r="277" spans="5:5" ht="15.75" customHeight="1">
      <c r="E277" s="29"/>
    </row>
    <row r="278" spans="5:5" ht="15.75" customHeight="1">
      <c r="E278" s="29"/>
    </row>
    <row r="279" spans="5:5" ht="15.75" customHeight="1">
      <c r="E279" s="29"/>
    </row>
    <row r="280" spans="5:5" ht="15.75" customHeight="1">
      <c r="E280" s="29"/>
    </row>
    <row r="281" spans="5:5" ht="15.75" customHeight="1">
      <c r="E281" s="25"/>
    </row>
    <row r="282" spans="5:5" ht="15.75" customHeight="1">
      <c r="E282" s="25"/>
    </row>
    <row r="283" spans="5:5" ht="15.75" customHeight="1">
      <c r="E283" s="25"/>
    </row>
    <row r="284" spans="5:5" ht="15.75" customHeight="1">
      <c r="E284" s="25"/>
    </row>
    <row r="285" spans="5:5" ht="15.75" customHeight="1">
      <c r="E285" s="25"/>
    </row>
    <row r="286" spans="5:5" ht="15.75" customHeight="1">
      <c r="E286" s="25"/>
    </row>
    <row r="287" spans="5:5" ht="15.75" customHeight="1">
      <c r="E287" s="25"/>
    </row>
    <row r="288" spans="5:5" ht="15.75" customHeight="1">
      <c r="E288" s="25"/>
    </row>
    <row r="289" spans="5:5" ht="15.75" customHeight="1">
      <c r="E289" s="25"/>
    </row>
    <row r="290" spans="5:5" ht="15.75" customHeight="1">
      <c r="E290" s="25"/>
    </row>
    <row r="291" spans="5:5" ht="15.75" customHeight="1">
      <c r="E291" s="25"/>
    </row>
    <row r="292" spans="5:5" ht="15.75" customHeight="1">
      <c r="E292" s="25"/>
    </row>
    <row r="293" spans="5:5" ht="15.75" customHeight="1">
      <c r="E293" s="25"/>
    </row>
    <row r="294" spans="5:5" ht="15.75" customHeight="1">
      <c r="E294" s="25"/>
    </row>
    <row r="295" spans="5:5" ht="15.75" customHeight="1">
      <c r="E295" s="25"/>
    </row>
    <row r="296" spans="5:5" ht="15.75" customHeight="1">
      <c r="E296" s="25"/>
    </row>
    <row r="297" spans="5:5" ht="15.75" customHeight="1">
      <c r="E297" s="25"/>
    </row>
    <row r="298" spans="5:5" ht="15.75" customHeight="1">
      <c r="E298" s="25"/>
    </row>
    <row r="299" spans="5:5" ht="15.75" customHeight="1">
      <c r="E299" s="25"/>
    </row>
    <row r="300" spans="5:5" ht="15.75" customHeight="1">
      <c r="E300" s="25"/>
    </row>
    <row r="301" spans="5:5" ht="15.75" customHeight="1">
      <c r="E301" s="21"/>
    </row>
    <row r="302" spans="5:5" ht="15.75" customHeight="1">
      <c r="E302" s="22"/>
    </row>
    <row r="303" spans="5:5" ht="15.75" customHeight="1">
      <c r="E303" s="22" t="s">
        <v>5</v>
      </c>
    </row>
    <row r="304" spans="5:5" ht="15.75" customHeight="1">
      <c r="E304" s="29"/>
    </row>
    <row r="305" spans="5:5" ht="15.75" customHeight="1">
      <c r="E305" s="29"/>
    </row>
    <row r="306" spans="5:5" ht="15.75" customHeight="1">
      <c r="E306" s="29"/>
    </row>
    <row r="307" spans="5:5" ht="15.75" customHeight="1">
      <c r="E307" s="29"/>
    </row>
    <row r="308" spans="5:5" ht="15.75" customHeight="1">
      <c r="E308" s="29"/>
    </row>
    <row r="309" spans="5:5" ht="15.75" customHeight="1">
      <c r="E309" s="29"/>
    </row>
    <row r="310" spans="5:5" ht="15.75" customHeight="1">
      <c r="E310" s="29"/>
    </row>
    <row r="311" spans="5:5" ht="15.75" customHeight="1">
      <c r="E311" s="29"/>
    </row>
    <row r="312" spans="5:5" ht="15.75" customHeight="1">
      <c r="E312" s="29"/>
    </row>
    <row r="313" spans="5:5" ht="15.75" customHeight="1">
      <c r="E313" s="29"/>
    </row>
    <row r="314" spans="5:5" ht="15.75" customHeight="1">
      <c r="E314" s="29"/>
    </row>
    <row r="315" spans="5:5" ht="15.75" customHeight="1">
      <c r="E315" s="29"/>
    </row>
    <row r="316" spans="5:5" ht="15.75" customHeight="1">
      <c r="E316" s="29"/>
    </row>
    <row r="317" spans="5:5" ht="15.75" customHeight="1">
      <c r="E317" s="29"/>
    </row>
    <row r="318" spans="5:5" ht="15.75" customHeight="1">
      <c r="E318" s="29"/>
    </row>
    <row r="319" spans="5:5" ht="15.75" customHeight="1">
      <c r="E319" s="29"/>
    </row>
    <row r="320" spans="5:5" ht="15.75" customHeight="1">
      <c r="E320" s="29"/>
    </row>
    <row r="321" spans="5:5" ht="15.75" customHeight="1">
      <c r="E321" s="29"/>
    </row>
    <row r="322" spans="5:5" ht="15.75" customHeight="1">
      <c r="E322" s="29"/>
    </row>
    <row r="323" spans="5:5" ht="15.75" customHeight="1">
      <c r="E323" s="29"/>
    </row>
    <row r="324" spans="5:5" ht="15.75" customHeight="1">
      <c r="E324" s="29"/>
    </row>
    <row r="325" spans="5:5" ht="15.75" customHeight="1">
      <c r="E325" s="29"/>
    </row>
    <row r="326" spans="5:5" ht="15.75" customHeight="1">
      <c r="E326" s="29"/>
    </row>
    <row r="327" spans="5:5" ht="15.75" customHeight="1">
      <c r="E327" s="29"/>
    </row>
    <row r="328" spans="5:5" ht="15.75" customHeight="1">
      <c r="E328" s="29"/>
    </row>
    <row r="329" spans="5:5" ht="15.75" customHeight="1">
      <c r="E329" s="29"/>
    </row>
    <row r="330" spans="5:5" ht="15.75" customHeight="1">
      <c r="E330" s="29"/>
    </row>
    <row r="331" spans="5:5" ht="15.75" customHeight="1">
      <c r="E331" s="25"/>
    </row>
    <row r="332" spans="5:5" ht="15.75" customHeight="1">
      <c r="E332" s="25"/>
    </row>
    <row r="333" spans="5:5" ht="15.75" customHeight="1">
      <c r="E333" s="25"/>
    </row>
    <row r="334" spans="5:5" ht="15.75" customHeight="1">
      <c r="E334" s="25"/>
    </row>
    <row r="335" spans="5:5" ht="15.75" customHeight="1">
      <c r="E335" s="25"/>
    </row>
    <row r="336" spans="5:5" ht="15.75" customHeight="1">
      <c r="E336" s="25"/>
    </row>
    <row r="337" spans="5:5" ht="15.75" customHeight="1">
      <c r="E337" s="25"/>
    </row>
    <row r="338" spans="5:5" ht="15.75" customHeight="1">
      <c r="E338" s="25"/>
    </row>
    <row r="339" spans="5:5" ht="15.75" customHeight="1">
      <c r="E339" s="25"/>
    </row>
    <row r="340" spans="5:5" ht="15.75" customHeight="1">
      <c r="E340" s="25"/>
    </row>
    <row r="341" spans="5:5" ht="15.75" customHeight="1">
      <c r="E341" s="25"/>
    </row>
    <row r="342" spans="5:5" ht="15.75" customHeight="1">
      <c r="E342" s="25"/>
    </row>
    <row r="343" spans="5:5" ht="15.75" customHeight="1">
      <c r="E343" s="25"/>
    </row>
    <row r="344" spans="5:5" ht="15.75" customHeight="1">
      <c r="E344" s="25"/>
    </row>
    <row r="345" spans="5:5" ht="15.75" customHeight="1">
      <c r="E345" s="25"/>
    </row>
    <row r="346" spans="5:5" ht="15.75" customHeight="1">
      <c r="E346" s="25"/>
    </row>
    <row r="347" spans="5:5" ht="15.75" customHeight="1">
      <c r="E347" s="25"/>
    </row>
    <row r="348" spans="5:5" ht="15.75" customHeight="1">
      <c r="E348" s="25"/>
    </row>
    <row r="349" spans="5:5" ht="15.75" customHeight="1">
      <c r="E349" s="25"/>
    </row>
    <row r="350" spans="5:5" ht="15.75" customHeight="1">
      <c r="E350" s="25"/>
    </row>
    <row r="351" spans="5:5" ht="15.75" customHeight="1">
      <c r="E351" s="21"/>
    </row>
    <row r="352" spans="5:5" ht="15.75" customHeight="1">
      <c r="E352" s="22"/>
    </row>
    <row r="353" spans="5:5" ht="15.75" customHeight="1">
      <c r="E353" s="22" t="s">
        <v>5</v>
      </c>
    </row>
    <row r="354" spans="5:5" ht="15.75" customHeight="1">
      <c r="E354" s="29"/>
    </row>
    <row r="355" spans="5:5" ht="15.75" customHeight="1">
      <c r="E355" s="29"/>
    </row>
    <row r="356" spans="5:5" ht="15.75" customHeight="1">
      <c r="E356" s="29"/>
    </row>
    <row r="357" spans="5:5" ht="15.75" customHeight="1">
      <c r="E357" s="29"/>
    </row>
    <row r="358" spans="5:5" ht="15.75" customHeight="1">
      <c r="E358" s="29"/>
    </row>
    <row r="359" spans="5:5" ht="15.75" customHeight="1">
      <c r="E359" s="29"/>
    </row>
    <row r="360" spans="5:5" ht="15.75" customHeight="1">
      <c r="E360" s="29"/>
    </row>
    <row r="361" spans="5:5" ht="15.75" customHeight="1">
      <c r="E361" s="29"/>
    </row>
    <row r="362" spans="5:5" ht="15.75" customHeight="1">
      <c r="E362" s="29"/>
    </row>
    <row r="363" spans="5:5" ht="15.75" customHeight="1">
      <c r="E363" s="29"/>
    </row>
    <row r="364" spans="5:5" ht="15.75" customHeight="1">
      <c r="E364" s="29"/>
    </row>
    <row r="365" spans="5:5" ht="15.75" customHeight="1">
      <c r="E365" s="29"/>
    </row>
    <row r="366" spans="5:5" ht="15.75" customHeight="1">
      <c r="E366" s="29"/>
    </row>
    <row r="367" spans="5:5" ht="15.75" customHeight="1">
      <c r="E367" s="29"/>
    </row>
    <row r="368" spans="5:5" ht="15.75" customHeight="1">
      <c r="E368" s="29"/>
    </row>
    <row r="369" spans="5:5" ht="15.75" customHeight="1">
      <c r="E369" s="29"/>
    </row>
    <row r="370" spans="5:5" ht="15.75" customHeight="1">
      <c r="E370" s="29"/>
    </row>
    <row r="371" spans="5:5" ht="15.75" customHeight="1">
      <c r="E371" s="29"/>
    </row>
    <row r="372" spans="5:5" ht="15.75" customHeight="1">
      <c r="E372" s="29"/>
    </row>
    <row r="373" spans="5:5" ht="15.75" customHeight="1">
      <c r="E373" s="29"/>
    </row>
    <row r="374" spans="5:5" ht="15.75" customHeight="1">
      <c r="E374" s="29"/>
    </row>
    <row r="375" spans="5:5" ht="15.75" customHeight="1">
      <c r="E375" s="29"/>
    </row>
    <row r="376" spans="5:5" ht="15.75" customHeight="1">
      <c r="E376" s="29"/>
    </row>
    <row r="377" spans="5:5" ht="15.75" customHeight="1">
      <c r="E377" s="29"/>
    </row>
    <row r="378" spans="5:5" ht="15.75" customHeight="1">
      <c r="E378" s="29"/>
    </row>
    <row r="379" spans="5:5" ht="15.75" customHeight="1">
      <c r="E379" s="29"/>
    </row>
    <row r="380" spans="5:5" ht="15.75" customHeight="1">
      <c r="E380" s="29"/>
    </row>
    <row r="381" spans="5:5" ht="15.75" customHeight="1">
      <c r="E381" s="25"/>
    </row>
    <row r="382" spans="5:5" ht="15.75" customHeight="1">
      <c r="E382" s="25"/>
    </row>
    <row r="383" spans="5:5" ht="15.75" customHeight="1">
      <c r="E383" s="25"/>
    </row>
    <row r="384" spans="5:5" ht="15.75" customHeight="1">
      <c r="E384" s="25"/>
    </row>
    <row r="385" spans="5:5" ht="15.75" customHeight="1">
      <c r="E385" s="25"/>
    </row>
    <row r="386" spans="5:5" ht="15.75" customHeight="1">
      <c r="E386" s="25"/>
    </row>
    <row r="387" spans="5:5" ht="15.75" customHeight="1">
      <c r="E387" s="25"/>
    </row>
    <row r="388" spans="5:5" ht="15.75" customHeight="1">
      <c r="E388" s="25"/>
    </row>
    <row r="389" spans="5:5" ht="15.75" customHeight="1">
      <c r="E389" s="25"/>
    </row>
    <row r="390" spans="5:5" ht="15.75" customHeight="1">
      <c r="E390" s="25"/>
    </row>
    <row r="391" spans="5:5" ht="15.75" customHeight="1">
      <c r="E391" s="25"/>
    </row>
    <row r="392" spans="5:5" ht="15.75" customHeight="1">
      <c r="E392" s="25"/>
    </row>
    <row r="393" spans="5:5" ht="15.75" customHeight="1">
      <c r="E393" s="25"/>
    </row>
    <row r="394" spans="5:5" ht="15.75" customHeight="1">
      <c r="E394" s="25"/>
    </row>
    <row r="395" spans="5:5" ht="15.75" customHeight="1">
      <c r="E395" s="25"/>
    </row>
    <row r="396" spans="5:5" ht="15.75" customHeight="1">
      <c r="E396" s="25"/>
    </row>
    <row r="397" spans="5:5" ht="15.75" customHeight="1">
      <c r="E397" s="25"/>
    </row>
    <row r="398" spans="5:5" ht="15.75" customHeight="1">
      <c r="E398" s="25"/>
    </row>
    <row r="399" spans="5:5" ht="15.75" customHeight="1">
      <c r="E399" s="25"/>
    </row>
    <row r="400" spans="5:5" ht="15.75" customHeight="1">
      <c r="E400" s="25"/>
    </row>
    <row r="401" spans="5:5" ht="15.75" customHeight="1">
      <c r="E401" s="21"/>
    </row>
    <row r="402" spans="5:5" ht="15.75" customHeight="1">
      <c r="E402" s="22"/>
    </row>
    <row r="403" spans="5:5" ht="15.75" customHeight="1">
      <c r="E403" s="22" t="s">
        <v>5</v>
      </c>
    </row>
    <row r="404" spans="5:5" ht="15.75" customHeight="1">
      <c r="E404" s="29"/>
    </row>
    <row r="405" spans="5:5" ht="15.75" customHeight="1">
      <c r="E405" s="29"/>
    </row>
    <row r="406" spans="5:5" ht="15.75" customHeight="1">
      <c r="E406" s="29"/>
    </row>
    <row r="407" spans="5:5" ht="15.75" customHeight="1">
      <c r="E407" s="29"/>
    </row>
    <row r="408" spans="5:5" ht="15.75" customHeight="1">
      <c r="E408" s="29"/>
    </row>
    <row r="409" spans="5:5" ht="15.75" customHeight="1">
      <c r="E409" s="29"/>
    </row>
    <row r="410" spans="5:5" ht="15.75" customHeight="1">
      <c r="E410" s="29"/>
    </row>
    <row r="411" spans="5:5" ht="15.75" customHeight="1">
      <c r="E411" s="29"/>
    </row>
    <row r="412" spans="5:5" ht="15.75" customHeight="1">
      <c r="E412" s="29"/>
    </row>
    <row r="413" spans="5:5" ht="15.75" customHeight="1">
      <c r="E413" s="29"/>
    </row>
    <row r="414" spans="5:5" ht="15.75" customHeight="1">
      <c r="E414" s="29"/>
    </row>
    <row r="415" spans="5:5" ht="15.75" customHeight="1">
      <c r="E415" s="29"/>
    </row>
    <row r="416" spans="5:5" ht="15.75" customHeight="1">
      <c r="E416" s="29"/>
    </row>
    <row r="417" spans="5:5" ht="15.75" customHeight="1">
      <c r="E417" s="29"/>
    </row>
    <row r="418" spans="5:5" ht="15.75" customHeight="1">
      <c r="E418" s="29"/>
    </row>
    <row r="419" spans="5:5" ht="15.75" customHeight="1">
      <c r="E419" s="29"/>
    </row>
    <row r="420" spans="5:5" ht="15.75" customHeight="1">
      <c r="E420" s="29"/>
    </row>
    <row r="421" spans="5:5" ht="15.75" customHeight="1">
      <c r="E421" s="29"/>
    </row>
    <row r="422" spans="5:5" ht="15.75" customHeight="1">
      <c r="E422" s="29"/>
    </row>
    <row r="423" spans="5:5" ht="15.75" customHeight="1">
      <c r="E423" s="29"/>
    </row>
    <row r="424" spans="5:5" ht="15.75" customHeight="1">
      <c r="E424" s="29"/>
    </row>
    <row r="425" spans="5:5" ht="15.75" customHeight="1">
      <c r="E425" s="29"/>
    </row>
    <row r="426" spans="5:5" ht="15.75" customHeight="1">
      <c r="E426" s="29"/>
    </row>
    <row r="427" spans="5:5" ht="15.75" customHeight="1">
      <c r="E427" s="29"/>
    </row>
    <row r="428" spans="5:5" ht="15.75" customHeight="1">
      <c r="E428" s="29"/>
    </row>
    <row r="429" spans="5:5" ht="15.75" customHeight="1">
      <c r="E429" s="29"/>
    </row>
    <row r="430" spans="5:5" ht="15.75" customHeight="1">
      <c r="E430" s="29"/>
    </row>
    <row r="431" spans="5:5" ht="15.75" customHeight="1">
      <c r="E431" s="25"/>
    </row>
    <row r="432" spans="5:5" ht="15.75" customHeight="1">
      <c r="E432" s="25"/>
    </row>
    <row r="433" spans="5:5" ht="15.75" customHeight="1">
      <c r="E433" s="25"/>
    </row>
    <row r="434" spans="5:5" ht="15.75" customHeight="1">
      <c r="E434" s="25"/>
    </row>
    <row r="435" spans="5:5" ht="15.75" customHeight="1">
      <c r="E435" s="25"/>
    </row>
    <row r="436" spans="5:5" ht="15.75" customHeight="1">
      <c r="E436" s="25"/>
    </row>
    <row r="437" spans="5:5" ht="15.75" customHeight="1">
      <c r="E437" s="25"/>
    </row>
    <row r="438" spans="5:5" ht="15.75" customHeight="1">
      <c r="E438" s="25"/>
    </row>
    <row r="439" spans="5:5" ht="15.75" customHeight="1">
      <c r="E439" s="25"/>
    </row>
    <row r="440" spans="5:5" ht="15.75" customHeight="1">
      <c r="E440" s="25"/>
    </row>
    <row r="441" spans="5:5" ht="15.75" customHeight="1">
      <c r="E441" s="25"/>
    </row>
    <row r="442" spans="5:5" ht="15.75" customHeight="1">
      <c r="E442" s="25"/>
    </row>
    <row r="443" spans="5:5" ht="15.75" customHeight="1">
      <c r="E443" s="25"/>
    </row>
    <row r="444" spans="5:5" ht="15.75" customHeight="1">
      <c r="E444" s="25"/>
    </row>
    <row r="445" spans="5:5" ht="15.75" customHeight="1">
      <c r="E445" s="25"/>
    </row>
    <row r="446" spans="5:5" ht="15.75" customHeight="1">
      <c r="E446" s="25"/>
    </row>
    <row r="447" spans="5:5" ht="15.75" customHeight="1">
      <c r="E447" s="25"/>
    </row>
    <row r="448" spans="5:5" ht="15.75" customHeight="1">
      <c r="E448" s="25"/>
    </row>
    <row r="449" spans="5:5" ht="15.75" customHeight="1">
      <c r="E449" s="25"/>
    </row>
    <row r="450" spans="5:5" ht="15.75" customHeight="1">
      <c r="E450" s="25"/>
    </row>
    <row r="451" spans="5:5" ht="15.75" customHeight="1">
      <c r="E451" s="21"/>
    </row>
    <row r="452" spans="5:5" ht="15.75" customHeight="1">
      <c r="E452" s="22"/>
    </row>
    <row r="453" spans="5:5" ht="15.75" customHeight="1">
      <c r="E453" s="22" t="s">
        <v>5</v>
      </c>
    </row>
    <row r="454" spans="5:5" ht="15.75" customHeight="1">
      <c r="E454" s="29"/>
    </row>
    <row r="455" spans="5:5" ht="15.75" customHeight="1">
      <c r="E455" s="29"/>
    </row>
    <row r="456" spans="5:5" ht="15.75" customHeight="1">
      <c r="E456" s="29"/>
    </row>
    <row r="457" spans="5:5" ht="15.75" customHeight="1">
      <c r="E457" s="29"/>
    </row>
    <row r="458" spans="5:5" ht="15.75" customHeight="1">
      <c r="E458" s="29"/>
    </row>
    <row r="459" spans="5:5" ht="15.75" customHeight="1">
      <c r="E459" s="29"/>
    </row>
    <row r="460" spans="5:5" ht="15.75" customHeight="1">
      <c r="E460" s="29"/>
    </row>
    <row r="461" spans="5:5" ht="15.75" customHeight="1">
      <c r="E461" s="29"/>
    </row>
    <row r="462" spans="5:5" ht="15.75" customHeight="1">
      <c r="E462" s="29"/>
    </row>
    <row r="463" spans="5:5" ht="15.75" customHeight="1">
      <c r="E463" s="29"/>
    </row>
    <row r="464" spans="5:5" ht="15.75" customHeight="1">
      <c r="E464" s="29"/>
    </row>
    <row r="465" spans="5:5" ht="15.75" customHeight="1">
      <c r="E465" s="29"/>
    </row>
    <row r="466" spans="5:5" ht="15.75" customHeight="1">
      <c r="E466" s="29"/>
    </row>
    <row r="467" spans="5:5" ht="15.75" customHeight="1">
      <c r="E467" s="29"/>
    </row>
    <row r="468" spans="5:5" ht="15.75" customHeight="1">
      <c r="E468" s="29"/>
    </row>
    <row r="469" spans="5:5" ht="15.75" customHeight="1">
      <c r="E469" s="29"/>
    </row>
    <row r="470" spans="5:5" ht="15.75" customHeight="1">
      <c r="E470" s="29"/>
    </row>
    <row r="471" spans="5:5" ht="15.75" customHeight="1">
      <c r="E471" s="29"/>
    </row>
    <row r="472" spans="5:5" ht="15.75" customHeight="1">
      <c r="E472" s="29"/>
    </row>
    <row r="473" spans="5:5" ht="15.75" customHeight="1">
      <c r="E473" s="29"/>
    </row>
    <row r="474" spans="5:5" ht="15.75" customHeight="1">
      <c r="E474" s="29"/>
    </row>
    <row r="475" spans="5:5" ht="15.75" customHeight="1">
      <c r="E475" s="29"/>
    </row>
    <row r="476" spans="5:5" ht="15.75" customHeight="1">
      <c r="E476" s="29"/>
    </row>
    <row r="477" spans="5:5" ht="15.75" customHeight="1">
      <c r="E477" s="29"/>
    </row>
    <row r="478" spans="5:5" ht="15.75" customHeight="1">
      <c r="E478" s="29"/>
    </row>
    <row r="479" spans="5:5" ht="15.75" customHeight="1">
      <c r="E479" s="29"/>
    </row>
    <row r="480" spans="5:5" ht="15.75" customHeight="1">
      <c r="E480" s="29"/>
    </row>
    <row r="481" spans="5:5" ht="15.75" customHeight="1">
      <c r="E481" s="25"/>
    </row>
    <row r="482" spans="5:5" ht="15.75" customHeight="1">
      <c r="E482" s="25"/>
    </row>
    <row r="483" spans="5:5" ht="15.75" customHeight="1">
      <c r="E483" s="25"/>
    </row>
    <row r="484" spans="5:5" ht="15.75" customHeight="1">
      <c r="E484" s="25"/>
    </row>
    <row r="485" spans="5:5" ht="15.75" customHeight="1">
      <c r="E485" s="25"/>
    </row>
    <row r="486" spans="5:5" ht="15.75" customHeight="1">
      <c r="E486" s="25"/>
    </row>
    <row r="487" spans="5:5" ht="15.75" customHeight="1">
      <c r="E487" s="25"/>
    </row>
    <row r="488" spans="5:5" ht="15.75" customHeight="1">
      <c r="E488" s="25"/>
    </row>
    <row r="489" spans="5:5" ht="15.75" customHeight="1">
      <c r="E489" s="25"/>
    </row>
    <row r="490" spans="5:5" ht="15.75" customHeight="1">
      <c r="E490" s="25"/>
    </row>
    <row r="491" spans="5:5" ht="15.75" customHeight="1">
      <c r="E491" s="25"/>
    </row>
    <row r="492" spans="5:5" ht="15.75" customHeight="1">
      <c r="E492" s="25"/>
    </row>
    <row r="493" spans="5:5" ht="15.75" customHeight="1">
      <c r="E493" s="25"/>
    </row>
    <row r="494" spans="5:5" ht="15.75" customHeight="1">
      <c r="E494" s="25"/>
    </row>
    <row r="495" spans="5:5" ht="15.75" customHeight="1">
      <c r="E495" s="25"/>
    </row>
    <row r="496" spans="5:5" ht="15.75" customHeight="1">
      <c r="E496" s="25"/>
    </row>
    <row r="497" spans="5:5" ht="15.75" customHeight="1">
      <c r="E497" s="25"/>
    </row>
    <row r="498" spans="5:5" ht="15.75" customHeight="1">
      <c r="E498" s="25"/>
    </row>
    <row r="499" spans="5:5" ht="15.75" customHeight="1">
      <c r="E499" s="25"/>
    </row>
    <row r="500" spans="5:5" ht="15.75" customHeight="1">
      <c r="E500" s="25"/>
    </row>
    <row r="501" spans="5:5" ht="15.75" customHeight="1">
      <c r="E501" s="21"/>
    </row>
    <row r="502" spans="5:5" ht="15.75" customHeight="1">
      <c r="E502" s="22"/>
    </row>
    <row r="503" spans="5:5" ht="15.75" customHeight="1">
      <c r="E503" s="22" t="s">
        <v>5</v>
      </c>
    </row>
    <row r="504" spans="5:5" ht="15.75" customHeight="1">
      <c r="E504" s="29"/>
    </row>
    <row r="505" spans="5:5" ht="15.75" customHeight="1">
      <c r="E505" s="29"/>
    </row>
    <row r="506" spans="5:5" ht="15.75" customHeight="1">
      <c r="E506" s="29"/>
    </row>
    <row r="507" spans="5:5" ht="15.75" customHeight="1">
      <c r="E507" s="29"/>
    </row>
    <row r="508" spans="5:5" ht="15.75" customHeight="1">
      <c r="E508" s="29"/>
    </row>
    <row r="509" spans="5:5" ht="15.75" customHeight="1">
      <c r="E509" s="29"/>
    </row>
    <row r="510" spans="5:5" ht="15.75" customHeight="1">
      <c r="E510" s="29"/>
    </row>
    <row r="511" spans="5:5" ht="15.75" customHeight="1">
      <c r="E511" s="29"/>
    </row>
    <row r="512" spans="5:5" ht="15.75" customHeight="1">
      <c r="E512" s="29"/>
    </row>
    <row r="513" spans="5:5" ht="15.75" customHeight="1">
      <c r="E513" s="29"/>
    </row>
    <row r="514" spans="5:5" ht="15.75" customHeight="1">
      <c r="E514" s="29"/>
    </row>
    <row r="515" spans="5:5" ht="15.75" customHeight="1">
      <c r="E515" s="29"/>
    </row>
    <row r="516" spans="5:5" ht="15.75" customHeight="1">
      <c r="E516" s="29"/>
    </row>
    <row r="517" spans="5:5" ht="15.75" customHeight="1">
      <c r="E517" s="29"/>
    </row>
    <row r="518" spans="5:5" ht="15.75" customHeight="1">
      <c r="E518" s="29"/>
    </row>
    <row r="519" spans="5:5" ht="15.75" customHeight="1">
      <c r="E519" s="29"/>
    </row>
    <row r="520" spans="5:5" ht="15.75" customHeight="1">
      <c r="E520" s="29"/>
    </row>
    <row r="521" spans="5:5" ht="15.75" customHeight="1">
      <c r="E521" s="29"/>
    </row>
    <row r="522" spans="5:5" ht="15.75" customHeight="1">
      <c r="E522" s="29"/>
    </row>
    <row r="523" spans="5:5" ht="15.75" customHeight="1">
      <c r="E523" s="29"/>
    </row>
    <row r="524" spans="5:5" ht="15.75" customHeight="1">
      <c r="E524" s="29"/>
    </row>
    <row r="525" spans="5:5" ht="15.75" customHeight="1">
      <c r="E525" s="29"/>
    </row>
    <row r="526" spans="5:5" ht="15.75" customHeight="1">
      <c r="E526" s="29"/>
    </row>
    <row r="527" spans="5:5" ht="15.75" customHeight="1">
      <c r="E527" s="29"/>
    </row>
    <row r="528" spans="5:5" ht="15.75" customHeight="1">
      <c r="E528" s="29"/>
    </row>
    <row r="529" spans="5:5" ht="15.75" customHeight="1">
      <c r="E529" s="29"/>
    </row>
    <row r="530" spans="5:5" ht="15.75" customHeight="1">
      <c r="E530" s="29"/>
    </row>
    <row r="531" spans="5:5" ht="15.75" customHeight="1">
      <c r="E531" s="25"/>
    </row>
    <row r="532" spans="5:5" ht="15.75" customHeight="1">
      <c r="E532" s="25"/>
    </row>
    <row r="533" spans="5:5" ht="15.75" customHeight="1">
      <c r="E533" s="25"/>
    </row>
    <row r="534" spans="5:5" ht="15.75" customHeight="1">
      <c r="E534" s="25"/>
    </row>
    <row r="535" spans="5:5" ht="15.75" customHeight="1">
      <c r="E535" s="25"/>
    </row>
    <row r="536" spans="5:5" ht="15.75" customHeight="1">
      <c r="E536" s="25"/>
    </row>
    <row r="537" spans="5:5" ht="15.75" customHeight="1">
      <c r="E537" s="25"/>
    </row>
    <row r="538" spans="5:5" ht="15.75" customHeight="1">
      <c r="E538" s="25"/>
    </row>
    <row r="539" spans="5:5" ht="15.75" customHeight="1">
      <c r="E539" s="25"/>
    </row>
    <row r="540" spans="5:5" ht="15.75" customHeight="1">
      <c r="E540" s="25"/>
    </row>
    <row r="541" spans="5:5" ht="15.75" customHeight="1">
      <c r="E541" s="25"/>
    </row>
    <row r="542" spans="5:5" ht="15.75" customHeight="1">
      <c r="E542" s="25"/>
    </row>
    <row r="543" spans="5:5" ht="15.75" customHeight="1">
      <c r="E543" s="25"/>
    </row>
    <row r="544" spans="5:5" ht="15.75" customHeight="1">
      <c r="E544" s="25"/>
    </row>
    <row r="545" spans="5:5" ht="15.75" customHeight="1">
      <c r="E545" s="25"/>
    </row>
    <row r="546" spans="5:5" ht="15.75" customHeight="1">
      <c r="E546" s="25"/>
    </row>
    <row r="547" spans="5:5" ht="15.75" customHeight="1">
      <c r="E547" s="25"/>
    </row>
    <row r="548" spans="5:5" ht="15.75" customHeight="1">
      <c r="E548" s="25"/>
    </row>
    <row r="549" spans="5:5" ht="15.75" customHeight="1">
      <c r="E549" s="25"/>
    </row>
    <row r="550" spans="5:5" ht="15.75" customHeight="1">
      <c r="E550" s="25"/>
    </row>
    <row r="551" spans="5:5" ht="15.75" customHeight="1">
      <c r="E551" s="21"/>
    </row>
    <row r="552" spans="5:5" ht="15.75" customHeight="1">
      <c r="E552" s="22"/>
    </row>
    <row r="553" spans="5:5" ht="15.75" customHeight="1">
      <c r="E553" s="22" t="s">
        <v>5</v>
      </c>
    </row>
    <row r="554" spans="5:5" ht="15.75" customHeight="1">
      <c r="E554" s="29"/>
    </row>
    <row r="555" spans="5:5" ht="15.75" customHeight="1">
      <c r="E555" s="29"/>
    </row>
    <row r="556" spans="5:5" ht="15.75" customHeight="1">
      <c r="E556" s="29"/>
    </row>
    <row r="557" spans="5:5" ht="15.75" customHeight="1">
      <c r="E557" s="29"/>
    </row>
    <row r="558" spans="5:5" ht="15.75" customHeight="1">
      <c r="E558" s="29"/>
    </row>
    <row r="559" spans="5:5" ht="15.75" customHeight="1">
      <c r="E559" s="29"/>
    </row>
    <row r="560" spans="5:5" ht="15.75" customHeight="1">
      <c r="E560" s="29"/>
    </row>
    <row r="561" spans="5:5" ht="15.75" customHeight="1">
      <c r="E561" s="29"/>
    </row>
    <row r="562" spans="5:5" ht="15.75" customHeight="1">
      <c r="E562" s="29"/>
    </row>
    <row r="563" spans="5:5" ht="15.75" customHeight="1">
      <c r="E563" s="29"/>
    </row>
    <row r="564" spans="5:5" ht="15.75" customHeight="1">
      <c r="E564" s="29"/>
    </row>
    <row r="565" spans="5:5" ht="15.75" customHeight="1">
      <c r="E565" s="29"/>
    </row>
    <row r="566" spans="5:5" ht="15.75" customHeight="1">
      <c r="E566" s="29"/>
    </row>
    <row r="567" spans="5:5" ht="15.75" customHeight="1">
      <c r="E567" s="29"/>
    </row>
    <row r="568" spans="5:5" ht="15.75" customHeight="1">
      <c r="E568" s="29"/>
    </row>
    <row r="569" spans="5:5" ht="15.75" customHeight="1">
      <c r="E569" s="29"/>
    </row>
    <row r="570" spans="5:5" ht="15.75" customHeight="1">
      <c r="E570" s="29"/>
    </row>
    <row r="571" spans="5:5" ht="15.75" customHeight="1">
      <c r="E571" s="29"/>
    </row>
    <row r="572" spans="5:5" ht="15.75" customHeight="1">
      <c r="E572" s="29"/>
    </row>
    <row r="573" spans="5:5" ht="15.75" customHeight="1">
      <c r="E573" s="29"/>
    </row>
    <row r="574" spans="5:5" ht="15.75" customHeight="1">
      <c r="E574" s="29"/>
    </row>
    <row r="575" spans="5:5" ht="15.75" customHeight="1">
      <c r="E575" s="29"/>
    </row>
    <row r="576" spans="5:5" ht="15.75" customHeight="1">
      <c r="E576" s="29"/>
    </row>
    <row r="577" spans="5:5" ht="15.75" customHeight="1">
      <c r="E577" s="29"/>
    </row>
    <row r="578" spans="5:5" ht="15.75" customHeight="1">
      <c r="E578" s="29"/>
    </row>
    <row r="579" spans="5:5" ht="15.75" customHeight="1">
      <c r="E579" s="29"/>
    </row>
    <row r="580" spans="5:5" ht="15.75" customHeight="1">
      <c r="E580" s="29"/>
    </row>
    <row r="581" spans="5:5" ht="15.75" customHeight="1">
      <c r="E581" s="25"/>
    </row>
    <row r="582" spans="5:5" ht="15.75" customHeight="1">
      <c r="E582" s="25"/>
    </row>
    <row r="583" spans="5:5" ht="15.75" customHeight="1">
      <c r="E583" s="25"/>
    </row>
    <row r="584" spans="5:5" ht="15.75" customHeight="1">
      <c r="E584" s="25"/>
    </row>
    <row r="585" spans="5:5" ht="15.75" customHeight="1">
      <c r="E585" s="25"/>
    </row>
    <row r="586" spans="5:5" ht="15.75" customHeight="1">
      <c r="E586" s="25"/>
    </row>
    <row r="587" spans="5:5" ht="15.75" customHeight="1">
      <c r="E587" s="25"/>
    </row>
    <row r="588" spans="5:5" ht="15.75" customHeight="1">
      <c r="E588" s="25"/>
    </row>
    <row r="589" spans="5:5" ht="15.75" customHeight="1">
      <c r="E589" s="25"/>
    </row>
    <row r="590" spans="5:5" ht="15.75" customHeight="1">
      <c r="E590" s="25"/>
    </row>
    <row r="591" spans="5:5" ht="15.75" customHeight="1">
      <c r="E591" s="25"/>
    </row>
    <row r="592" spans="5:5" ht="15.75" customHeight="1">
      <c r="E592" s="25"/>
    </row>
    <row r="593" spans="5:5" ht="15.75" customHeight="1">
      <c r="E593" s="25"/>
    </row>
    <row r="594" spans="5:5" ht="15.75" customHeight="1">
      <c r="E594" s="25"/>
    </row>
    <row r="595" spans="5:5" ht="15.75" customHeight="1">
      <c r="E595" s="25"/>
    </row>
    <row r="596" spans="5:5" ht="15.75" customHeight="1">
      <c r="E596" s="25"/>
    </row>
    <row r="597" spans="5:5" ht="15.75" customHeight="1">
      <c r="E597" s="25"/>
    </row>
    <row r="598" spans="5:5" ht="15.75" customHeight="1">
      <c r="E598" s="25"/>
    </row>
    <row r="599" spans="5:5" ht="15.75" customHeight="1">
      <c r="E599" s="25"/>
    </row>
    <row r="600" spans="5:5" ht="15.75" customHeight="1">
      <c r="E600" s="25"/>
    </row>
    <row r="601" spans="5:5" ht="15.75" customHeight="1">
      <c r="E601" s="21"/>
    </row>
    <row r="602" spans="5:5" ht="15.75" customHeight="1">
      <c r="E602" s="22"/>
    </row>
    <row r="603" spans="5:5" ht="15.75" customHeight="1">
      <c r="E603" s="22" t="s">
        <v>5</v>
      </c>
    </row>
    <row r="604" spans="5:5" ht="15.75" customHeight="1">
      <c r="E604" s="29"/>
    </row>
    <row r="605" spans="5:5" ht="15.75" customHeight="1">
      <c r="E605" s="29"/>
    </row>
    <row r="606" spans="5:5" ht="15.75" customHeight="1">
      <c r="E606" s="29"/>
    </row>
    <row r="607" spans="5:5" ht="15.75" customHeight="1">
      <c r="E607" s="29"/>
    </row>
    <row r="608" spans="5:5" ht="15.75" customHeight="1">
      <c r="E608" s="29"/>
    </row>
    <row r="609" spans="5:5" ht="15.75" customHeight="1">
      <c r="E609" s="29"/>
    </row>
    <row r="610" spans="5:5" ht="15.75" customHeight="1">
      <c r="E610" s="29"/>
    </row>
    <row r="611" spans="5:5" ht="15.75" customHeight="1">
      <c r="E611" s="29"/>
    </row>
    <row r="612" spans="5:5" ht="15.75" customHeight="1">
      <c r="E612" s="29"/>
    </row>
    <row r="613" spans="5:5" ht="15.75" customHeight="1">
      <c r="E613" s="29"/>
    </row>
    <row r="614" spans="5:5" ht="15.75" customHeight="1">
      <c r="E614" s="29"/>
    </row>
    <row r="615" spans="5:5" ht="15.75" customHeight="1">
      <c r="E615" s="29"/>
    </row>
    <row r="616" spans="5:5" ht="15.75" customHeight="1">
      <c r="E616" s="29"/>
    </row>
    <row r="617" spans="5:5" ht="15.75" customHeight="1">
      <c r="E617" s="29"/>
    </row>
    <row r="618" spans="5:5" ht="15.75" customHeight="1">
      <c r="E618" s="29"/>
    </row>
    <row r="619" spans="5:5" ht="15.75" customHeight="1">
      <c r="E619" s="29"/>
    </row>
    <row r="620" spans="5:5" ht="15.75" customHeight="1">
      <c r="E620" s="29"/>
    </row>
    <row r="621" spans="5:5" ht="15.75" customHeight="1">
      <c r="E621" s="29"/>
    </row>
    <row r="622" spans="5:5" ht="15.75" customHeight="1">
      <c r="E622" s="29"/>
    </row>
    <row r="623" spans="5:5" ht="15.75" customHeight="1">
      <c r="E623" s="29"/>
    </row>
    <row r="624" spans="5:5" ht="15.75" customHeight="1">
      <c r="E624" s="29"/>
    </row>
    <row r="625" spans="5:5" ht="15.75" customHeight="1">
      <c r="E625" s="29"/>
    </row>
    <row r="626" spans="5:5" ht="15.75" customHeight="1">
      <c r="E626" s="29"/>
    </row>
    <row r="627" spans="5:5" ht="15.75" customHeight="1">
      <c r="E627" s="29"/>
    </row>
    <row r="628" spans="5:5" ht="15.75" customHeight="1">
      <c r="E628" s="29"/>
    </row>
    <row r="629" spans="5:5" ht="15.75" customHeight="1">
      <c r="E629" s="29"/>
    </row>
    <row r="630" spans="5:5" ht="15.75" customHeight="1">
      <c r="E630" s="29"/>
    </row>
    <row r="631" spans="5:5" ht="15.75" customHeight="1">
      <c r="E631" s="25"/>
    </row>
    <row r="632" spans="5:5" ht="15.75" customHeight="1">
      <c r="E632" s="25"/>
    </row>
    <row r="633" spans="5:5" ht="15.75" customHeight="1">
      <c r="E633" s="25"/>
    </row>
    <row r="634" spans="5:5" ht="15.75" customHeight="1">
      <c r="E634" s="25"/>
    </row>
    <row r="635" spans="5:5" ht="15.75" customHeight="1">
      <c r="E635" s="25"/>
    </row>
    <row r="636" spans="5:5" ht="15.75" customHeight="1">
      <c r="E636" s="25"/>
    </row>
    <row r="637" spans="5:5" ht="15.75" customHeight="1">
      <c r="E637" s="25"/>
    </row>
    <row r="638" spans="5:5" ht="15.75" customHeight="1">
      <c r="E638" s="25"/>
    </row>
    <row r="639" spans="5:5" ht="15.75" customHeight="1">
      <c r="E639" s="25"/>
    </row>
    <row r="640" spans="5:5" ht="15.75" customHeight="1">
      <c r="E640" s="25"/>
    </row>
    <row r="641" spans="5:5" ht="15.75" customHeight="1">
      <c r="E641" s="25"/>
    </row>
    <row r="642" spans="5:5" ht="15.75" customHeight="1">
      <c r="E642" s="25"/>
    </row>
    <row r="643" spans="5:5" ht="15.75" customHeight="1">
      <c r="E643" s="25"/>
    </row>
    <row r="644" spans="5:5" ht="15.75" customHeight="1">
      <c r="E644" s="25"/>
    </row>
    <row r="645" spans="5:5" ht="15.75" customHeight="1">
      <c r="E645" s="25"/>
    </row>
    <row r="646" spans="5:5" ht="15.75" customHeight="1">
      <c r="E646" s="25"/>
    </row>
    <row r="647" spans="5:5" ht="15.75" customHeight="1">
      <c r="E647" s="25"/>
    </row>
    <row r="648" spans="5:5" ht="15.75" customHeight="1">
      <c r="E648" s="25"/>
    </row>
    <row r="649" spans="5:5" ht="15.75" customHeight="1">
      <c r="E649" s="25"/>
    </row>
    <row r="650" spans="5:5" ht="15.75" customHeight="1">
      <c r="E650" s="25"/>
    </row>
    <row r="651" spans="5:5" ht="15.75" customHeight="1">
      <c r="E651" s="21"/>
    </row>
    <row r="652" spans="5:5" ht="15.75" customHeight="1">
      <c r="E652" s="22"/>
    </row>
    <row r="653" spans="5:5" ht="15.75" customHeight="1">
      <c r="E653" s="22" t="s">
        <v>5</v>
      </c>
    </row>
    <row r="654" spans="5:5" ht="15.75" customHeight="1">
      <c r="E654" s="29"/>
    </row>
    <row r="655" spans="5:5" ht="15.75" customHeight="1">
      <c r="E655" s="29"/>
    </row>
    <row r="656" spans="5:5" ht="15.75" customHeight="1">
      <c r="E656" s="29"/>
    </row>
    <row r="657" spans="5:5" ht="15.75" customHeight="1">
      <c r="E657" s="29"/>
    </row>
    <row r="658" spans="5:5" ht="15.75" customHeight="1">
      <c r="E658" s="29"/>
    </row>
    <row r="659" spans="5:5" ht="15.75" customHeight="1">
      <c r="E659" s="29"/>
    </row>
    <row r="660" spans="5:5" ht="15.75" customHeight="1">
      <c r="E660" s="29"/>
    </row>
    <row r="661" spans="5:5" ht="15.75" customHeight="1">
      <c r="E661" s="29"/>
    </row>
    <row r="662" spans="5:5" ht="15.75" customHeight="1">
      <c r="E662" s="29"/>
    </row>
    <row r="663" spans="5:5" ht="15.75" customHeight="1">
      <c r="E663" s="29"/>
    </row>
    <row r="664" spans="5:5" ht="15.75" customHeight="1">
      <c r="E664" s="29"/>
    </row>
    <row r="665" spans="5:5" ht="15.75" customHeight="1">
      <c r="E665" s="29"/>
    </row>
    <row r="666" spans="5:5" ht="15.75" customHeight="1">
      <c r="E666" s="29"/>
    </row>
    <row r="667" spans="5:5" ht="15.75" customHeight="1">
      <c r="E667" s="29"/>
    </row>
    <row r="668" spans="5:5" ht="15.75" customHeight="1">
      <c r="E668" s="29"/>
    </row>
    <row r="669" spans="5:5" ht="15.75" customHeight="1">
      <c r="E669" s="29"/>
    </row>
    <row r="670" spans="5:5" ht="15.75" customHeight="1">
      <c r="E670" s="29"/>
    </row>
    <row r="671" spans="5:5" ht="15.75" customHeight="1">
      <c r="E671" s="29"/>
    </row>
    <row r="672" spans="5:5" ht="15.75" customHeight="1">
      <c r="E672" s="29"/>
    </row>
    <row r="673" spans="5:5" ht="15.75" customHeight="1">
      <c r="E673" s="29"/>
    </row>
    <row r="674" spans="5:5" ht="15.75" customHeight="1">
      <c r="E674" s="29"/>
    </row>
    <row r="675" spans="5:5" ht="15.75" customHeight="1">
      <c r="E675" s="29"/>
    </row>
    <row r="676" spans="5:5" ht="15.75" customHeight="1">
      <c r="E676" s="29"/>
    </row>
    <row r="677" spans="5:5" ht="15.75" customHeight="1">
      <c r="E677" s="29"/>
    </row>
    <row r="678" spans="5:5" ht="15.75" customHeight="1">
      <c r="E678" s="29"/>
    </row>
    <row r="679" spans="5:5" ht="15.75" customHeight="1">
      <c r="E679" s="29"/>
    </row>
    <row r="680" spans="5:5" ht="15.75" customHeight="1">
      <c r="E680" s="29"/>
    </row>
    <row r="681" spans="5:5" ht="15.75" customHeight="1">
      <c r="E681" s="25"/>
    </row>
    <row r="682" spans="5:5" ht="15.75" customHeight="1">
      <c r="E682" s="25"/>
    </row>
    <row r="683" spans="5:5" ht="15.75" customHeight="1">
      <c r="E683" s="25"/>
    </row>
    <row r="684" spans="5:5" ht="15.75" customHeight="1">
      <c r="E684" s="25"/>
    </row>
    <row r="685" spans="5:5" ht="15.75" customHeight="1">
      <c r="E685" s="25"/>
    </row>
    <row r="686" spans="5:5" ht="15.75" customHeight="1">
      <c r="E686" s="25"/>
    </row>
    <row r="687" spans="5:5" ht="15.75" customHeight="1">
      <c r="E687" s="25"/>
    </row>
    <row r="688" spans="5:5" ht="15.75" customHeight="1">
      <c r="E688" s="25"/>
    </row>
    <row r="689" spans="5:5" ht="15.75" customHeight="1">
      <c r="E689" s="25"/>
    </row>
    <row r="690" spans="5:5" ht="15.75" customHeight="1">
      <c r="E690" s="25"/>
    </row>
    <row r="691" spans="5:5" ht="15.75" customHeight="1">
      <c r="E691" s="25"/>
    </row>
    <row r="692" spans="5:5" ht="15.75" customHeight="1">
      <c r="E692" s="25"/>
    </row>
    <row r="693" spans="5:5" ht="15.75" customHeight="1">
      <c r="E693" s="25"/>
    </row>
    <row r="694" spans="5:5" ht="15.75" customHeight="1">
      <c r="E694" s="25"/>
    </row>
    <row r="695" spans="5:5" ht="15.75" customHeight="1">
      <c r="E695" s="25"/>
    </row>
    <row r="696" spans="5:5" ht="15.75" customHeight="1">
      <c r="E696" s="25"/>
    </row>
    <row r="697" spans="5:5" ht="15.75" customHeight="1">
      <c r="E697" s="25"/>
    </row>
    <row r="698" spans="5:5" ht="15.75" customHeight="1">
      <c r="E698" s="25"/>
    </row>
    <row r="699" spans="5:5" ht="15.75" customHeight="1">
      <c r="E699" s="25"/>
    </row>
    <row r="700" spans="5:5" ht="15.75" customHeight="1">
      <c r="E700" s="25"/>
    </row>
    <row r="701" spans="5:5" ht="15.75" customHeight="1">
      <c r="E701" s="21"/>
    </row>
    <row r="702" spans="5:5" ht="15.75" customHeight="1">
      <c r="E702" s="22"/>
    </row>
    <row r="703" spans="5:5" ht="15.75" customHeight="1">
      <c r="E703" s="22" t="s">
        <v>5</v>
      </c>
    </row>
    <row r="704" spans="5:5" ht="15.75" customHeight="1">
      <c r="E704" s="29"/>
    </row>
    <row r="705" spans="5:5" ht="15.75" customHeight="1">
      <c r="E705" s="29"/>
    </row>
    <row r="706" spans="5:5" ht="15.75" customHeight="1">
      <c r="E706" s="29"/>
    </row>
    <row r="707" spans="5:5" ht="15.75" customHeight="1">
      <c r="E707" s="29"/>
    </row>
    <row r="708" spans="5:5" ht="15.75" customHeight="1">
      <c r="E708" s="29"/>
    </row>
    <row r="709" spans="5:5" ht="15.75" customHeight="1">
      <c r="E709" s="29"/>
    </row>
    <row r="710" spans="5:5" ht="15.75" customHeight="1">
      <c r="E710" s="29"/>
    </row>
    <row r="711" spans="5:5" ht="15.75" customHeight="1">
      <c r="E711" s="29"/>
    </row>
    <row r="712" spans="5:5" ht="15.75" customHeight="1">
      <c r="E712" s="29"/>
    </row>
    <row r="713" spans="5:5" ht="15.75" customHeight="1">
      <c r="E713" s="29"/>
    </row>
    <row r="714" spans="5:5" ht="15.75" customHeight="1">
      <c r="E714" s="29"/>
    </row>
    <row r="715" spans="5:5" ht="15.75" customHeight="1">
      <c r="E715" s="29"/>
    </row>
    <row r="716" spans="5:5" ht="15.75" customHeight="1">
      <c r="E716" s="29"/>
    </row>
    <row r="717" spans="5:5" ht="15.75" customHeight="1">
      <c r="E717" s="29"/>
    </row>
    <row r="718" spans="5:5" ht="15.75" customHeight="1">
      <c r="E718" s="29"/>
    </row>
    <row r="719" spans="5:5" ht="15.75" customHeight="1">
      <c r="E719" s="29"/>
    </row>
    <row r="720" spans="5:5" ht="15.75" customHeight="1">
      <c r="E720" s="29"/>
    </row>
    <row r="721" spans="5:5" ht="15.75" customHeight="1">
      <c r="E721" s="29"/>
    </row>
    <row r="722" spans="5:5" ht="15.75" customHeight="1">
      <c r="E722" s="29"/>
    </row>
    <row r="723" spans="5:5" ht="15.75" customHeight="1">
      <c r="E723" s="29"/>
    </row>
    <row r="724" spans="5:5" ht="15.75" customHeight="1">
      <c r="E724" s="29"/>
    </row>
    <row r="725" spans="5:5" ht="15.75" customHeight="1">
      <c r="E725" s="29"/>
    </row>
    <row r="726" spans="5:5" ht="15.75" customHeight="1">
      <c r="E726" s="29"/>
    </row>
    <row r="727" spans="5:5" ht="15.75" customHeight="1">
      <c r="E727" s="29"/>
    </row>
    <row r="728" spans="5:5" ht="15.75" customHeight="1">
      <c r="E728" s="29"/>
    </row>
    <row r="729" spans="5:5" ht="15.75" customHeight="1">
      <c r="E729" s="29"/>
    </row>
    <row r="730" spans="5:5" ht="15.75" customHeight="1">
      <c r="E730" s="29"/>
    </row>
    <row r="731" spans="5:5" ht="15.75" customHeight="1">
      <c r="E731" s="25"/>
    </row>
    <row r="732" spans="5:5" ht="15.75" customHeight="1">
      <c r="E732" s="25"/>
    </row>
    <row r="733" spans="5:5" ht="15.75" customHeight="1">
      <c r="E733" s="25"/>
    </row>
    <row r="734" spans="5:5" ht="15.75" customHeight="1">
      <c r="E734" s="25"/>
    </row>
    <row r="735" spans="5:5" ht="15.75" customHeight="1">
      <c r="E735" s="25"/>
    </row>
    <row r="736" spans="5:5" ht="15.75" customHeight="1">
      <c r="E736" s="25"/>
    </row>
    <row r="737" spans="5:5" ht="15.75" customHeight="1">
      <c r="E737" s="25"/>
    </row>
    <row r="738" spans="5:5" ht="15.75" customHeight="1">
      <c r="E738" s="25"/>
    </row>
    <row r="739" spans="5:5" ht="15.75" customHeight="1">
      <c r="E739" s="25"/>
    </row>
    <row r="740" spans="5:5" ht="15.75" customHeight="1">
      <c r="E740" s="25"/>
    </row>
    <row r="741" spans="5:5" ht="15.75" customHeight="1">
      <c r="E741" s="25"/>
    </row>
    <row r="742" spans="5:5" ht="15.75" customHeight="1">
      <c r="E742" s="25"/>
    </row>
    <row r="743" spans="5:5" ht="15.75" customHeight="1">
      <c r="E743" s="25"/>
    </row>
    <row r="744" spans="5:5" ht="15.75" customHeight="1">
      <c r="E744" s="25"/>
    </row>
    <row r="745" spans="5:5" ht="15.75" customHeight="1">
      <c r="E745" s="25"/>
    </row>
    <row r="746" spans="5:5" ht="15.75" customHeight="1">
      <c r="E746" s="25"/>
    </row>
    <row r="747" spans="5:5" ht="15.75" customHeight="1">
      <c r="E747" s="25"/>
    </row>
    <row r="748" spans="5:5" ht="15.75" customHeight="1">
      <c r="E748" s="25"/>
    </row>
    <row r="749" spans="5:5" ht="15.75" customHeight="1">
      <c r="E749" s="25"/>
    </row>
    <row r="750" spans="5:5" ht="15.75" customHeight="1">
      <c r="E750" s="25"/>
    </row>
    <row r="751" spans="5:5" ht="15.75" customHeight="1">
      <c r="E751" s="21"/>
    </row>
    <row r="752" spans="5:5" ht="15.75" customHeight="1">
      <c r="E752" s="22"/>
    </row>
    <row r="753" spans="5:5" ht="15.75" customHeight="1">
      <c r="E753" s="22" t="s">
        <v>5</v>
      </c>
    </row>
    <row r="754" spans="5:5" ht="15.75" customHeight="1">
      <c r="E754" s="29"/>
    </row>
    <row r="755" spans="5:5" ht="15.75" customHeight="1">
      <c r="E755" s="29"/>
    </row>
    <row r="756" spans="5:5" ht="15.75" customHeight="1">
      <c r="E756" s="29"/>
    </row>
    <row r="757" spans="5:5" ht="15.75" customHeight="1">
      <c r="E757" s="29"/>
    </row>
    <row r="758" spans="5:5" ht="15.75" customHeight="1">
      <c r="E758" s="29"/>
    </row>
    <row r="759" spans="5:5" ht="15.75" customHeight="1">
      <c r="E759" s="29"/>
    </row>
    <row r="760" spans="5:5" ht="15.75" customHeight="1">
      <c r="E760" s="29"/>
    </row>
    <row r="761" spans="5:5" ht="15.75" customHeight="1">
      <c r="E761" s="29"/>
    </row>
    <row r="762" spans="5:5" ht="15.75" customHeight="1">
      <c r="E762" s="29"/>
    </row>
    <row r="763" spans="5:5" ht="15.75" customHeight="1">
      <c r="E763" s="29"/>
    </row>
    <row r="764" spans="5:5" ht="15.75" customHeight="1">
      <c r="E764" s="29"/>
    </row>
    <row r="765" spans="5:5" ht="15.75" customHeight="1">
      <c r="E765" s="29"/>
    </row>
    <row r="766" spans="5:5" ht="15.75" customHeight="1">
      <c r="E766" s="29"/>
    </row>
    <row r="767" spans="5:5" ht="15.75" customHeight="1">
      <c r="E767" s="29"/>
    </row>
    <row r="768" spans="5:5" ht="15.75" customHeight="1">
      <c r="E768" s="29"/>
    </row>
    <row r="769" spans="5:5" ht="15.75" customHeight="1">
      <c r="E769" s="29"/>
    </row>
    <row r="770" spans="5:5" ht="15.75" customHeight="1">
      <c r="E770" s="29"/>
    </row>
    <row r="771" spans="5:5" ht="15.75" customHeight="1">
      <c r="E771" s="29"/>
    </row>
    <row r="772" spans="5:5" ht="15.75" customHeight="1">
      <c r="E772" s="29"/>
    </row>
    <row r="773" spans="5:5" ht="15.75" customHeight="1">
      <c r="E773" s="29"/>
    </row>
    <row r="774" spans="5:5" ht="15.75" customHeight="1">
      <c r="E774" s="29"/>
    </row>
    <row r="775" spans="5:5" ht="15.75" customHeight="1">
      <c r="E775" s="29"/>
    </row>
    <row r="776" spans="5:5" ht="15.75" customHeight="1">
      <c r="E776" s="29"/>
    </row>
    <row r="777" spans="5:5" ht="15.75" customHeight="1">
      <c r="E777" s="29"/>
    </row>
    <row r="778" spans="5:5" ht="15.75" customHeight="1">
      <c r="E778" s="29"/>
    </row>
    <row r="779" spans="5:5" ht="15.75" customHeight="1">
      <c r="E779" s="29"/>
    </row>
    <row r="780" spans="5:5" ht="15.75" customHeight="1">
      <c r="E780" s="29"/>
    </row>
    <row r="781" spans="5:5" ht="15.75" customHeight="1">
      <c r="E781" s="25"/>
    </row>
    <row r="782" spans="5:5" ht="15.75" customHeight="1">
      <c r="E782" s="25"/>
    </row>
    <row r="783" spans="5:5" ht="15.75" customHeight="1">
      <c r="E783" s="25"/>
    </row>
    <row r="784" spans="5:5" ht="15.75" customHeight="1">
      <c r="E784" s="25"/>
    </row>
    <row r="785" spans="5:5" ht="15.75" customHeight="1">
      <c r="E785" s="25"/>
    </row>
    <row r="786" spans="5:5" ht="15.75" customHeight="1">
      <c r="E786" s="25"/>
    </row>
    <row r="787" spans="5:5" ht="15.75" customHeight="1">
      <c r="E787" s="25"/>
    </row>
    <row r="788" spans="5:5" ht="15.75" customHeight="1">
      <c r="E788" s="25"/>
    </row>
    <row r="789" spans="5:5" ht="15.75" customHeight="1">
      <c r="E789" s="25"/>
    </row>
    <row r="790" spans="5:5" ht="15.75" customHeight="1">
      <c r="E790" s="25"/>
    </row>
    <row r="791" spans="5:5" ht="15.75" customHeight="1">
      <c r="E791" s="25"/>
    </row>
    <row r="792" spans="5:5" ht="15.75" customHeight="1">
      <c r="E792" s="25"/>
    </row>
    <row r="793" spans="5:5" ht="15.75" customHeight="1">
      <c r="E793" s="25"/>
    </row>
    <row r="794" spans="5:5" ht="15.75" customHeight="1">
      <c r="E794" s="25"/>
    </row>
    <row r="795" spans="5:5" ht="15.75" customHeight="1">
      <c r="E795" s="25"/>
    </row>
    <row r="796" spans="5:5" ht="15.75" customHeight="1">
      <c r="E796" s="25"/>
    </row>
    <row r="797" spans="5:5" ht="15.75" customHeight="1">
      <c r="E797" s="25"/>
    </row>
    <row r="798" spans="5:5" ht="15.75" customHeight="1">
      <c r="E798" s="25"/>
    </row>
    <row r="799" spans="5:5" ht="15.75" customHeight="1">
      <c r="E799" s="25"/>
    </row>
    <row r="800" spans="5:5" ht="15.75" customHeight="1">
      <c r="E800" s="25"/>
    </row>
    <row r="801" spans="5:5" ht="15.75" customHeight="1">
      <c r="E801" s="21"/>
    </row>
    <row r="802" spans="5:5" ht="15.75" customHeight="1">
      <c r="E802" s="22"/>
    </row>
    <row r="803" spans="5:5" ht="15.75" customHeight="1">
      <c r="E803" s="22" t="s">
        <v>5</v>
      </c>
    </row>
    <row r="804" spans="5:5" ht="15.75" customHeight="1">
      <c r="E804" s="29"/>
    </row>
    <row r="805" spans="5:5" ht="15.75" customHeight="1">
      <c r="E805" s="29"/>
    </row>
    <row r="806" spans="5:5" ht="15.75" customHeight="1">
      <c r="E806" s="29"/>
    </row>
    <row r="807" spans="5:5" ht="15.75" customHeight="1">
      <c r="E807" s="29"/>
    </row>
    <row r="808" spans="5:5" ht="15.75" customHeight="1">
      <c r="E808" s="29"/>
    </row>
    <row r="809" spans="5:5" ht="15.75" customHeight="1">
      <c r="E809" s="29"/>
    </row>
    <row r="810" spans="5:5" ht="15.75" customHeight="1">
      <c r="E810" s="29"/>
    </row>
    <row r="811" spans="5:5" ht="15.75" customHeight="1">
      <c r="E811" s="29"/>
    </row>
    <row r="812" spans="5:5" ht="15.75" customHeight="1">
      <c r="E812" s="29"/>
    </row>
    <row r="813" spans="5:5" ht="15.75" customHeight="1">
      <c r="E813" s="29"/>
    </row>
    <row r="814" spans="5:5" ht="15.75" customHeight="1">
      <c r="E814" s="29"/>
    </row>
    <row r="815" spans="5:5" ht="15.75" customHeight="1">
      <c r="E815" s="29"/>
    </row>
    <row r="816" spans="5:5" ht="15.75" customHeight="1">
      <c r="E816" s="29"/>
    </row>
    <row r="817" spans="5:5" ht="15.75" customHeight="1">
      <c r="E817" s="29"/>
    </row>
    <row r="818" spans="5:5" ht="15.75" customHeight="1">
      <c r="E818" s="29"/>
    </row>
    <row r="819" spans="5:5" ht="15.75" customHeight="1">
      <c r="E819" s="29"/>
    </row>
    <row r="820" spans="5:5" ht="15.75" customHeight="1">
      <c r="E820" s="29"/>
    </row>
    <row r="821" spans="5:5" ht="15.75" customHeight="1">
      <c r="E821" s="29"/>
    </row>
    <row r="822" spans="5:5" ht="15.75" customHeight="1">
      <c r="E822" s="29"/>
    </row>
    <row r="823" spans="5:5" ht="15.75" customHeight="1">
      <c r="E823" s="29"/>
    </row>
    <row r="824" spans="5:5" ht="15.75" customHeight="1">
      <c r="E824" s="29"/>
    </row>
    <row r="825" spans="5:5" ht="15.75" customHeight="1">
      <c r="E825" s="29"/>
    </row>
    <row r="826" spans="5:5" ht="15.75" customHeight="1">
      <c r="E826" s="29"/>
    </row>
    <row r="827" spans="5:5" ht="15.75" customHeight="1">
      <c r="E827" s="29"/>
    </row>
    <row r="828" spans="5:5" ht="15.75" customHeight="1">
      <c r="E828" s="29"/>
    </row>
    <row r="829" spans="5:5" ht="15.75" customHeight="1">
      <c r="E829" s="29"/>
    </row>
    <row r="830" spans="5:5" ht="15.75" customHeight="1">
      <c r="E830" s="29"/>
    </row>
    <row r="831" spans="5:5" ht="15.75" customHeight="1">
      <c r="E831" s="25"/>
    </row>
    <row r="832" spans="5:5" ht="15.75" customHeight="1">
      <c r="E832" s="25"/>
    </row>
    <row r="833" spans="5:5" ht="15.75" customHeight="1">
      <c r="E833" s="25"/>
    </row>
    <row r="834" spans="5:5" ht="15.75" customHeight="1">
      <c r="E834" s="25"/>
    </row>
    <row r="835" spans="5:5" ht="15.75" customHeight="1">
      <c r="E835" s="25"/>
    </row>
    <row r="836" spans="5:5" ht="15.75" customHeight="1">
      <c r="E836" s="25"/>
    </row>
    <row r="837" spans="5:5" ht="15.75" customHeight="1">
      <c r="E837" s="25"/>
    </row>
    <row r="838" spans="5:5" ht="15.75" customHeight="1">
      <c r="E838" s="25"/>
    </row>
    <row r="839" spans="5:5" ht="15.75" customHeight="1">
      <c r="E839" s="25"/>
    </row>
    <row r="840" spans="5:5" ht="15.75" customHeight="1">
      <c r="E840" s="25"/>
    </row>
    <row r="841" spans="5:5" ht="15.75" customHeight="1">
      <c r="E841" s="25"/>
    </row>
    <row r="842" spans="5:5" ht="15.75" customHeight="1">
      <c r="E842" s="25"/>
    </row>
    <row r="843" spans="5:5" ht="15.75" customHeight="1">
      <c r="E843" s="25"/>
    </row>
    <row r="844" spans="5:5" ht="15.75" customHeight="1">
      <c r="E844" s="25"/>
    </row>
    <row r="845" spans="5:5" ht="15.75" customHeight="1">
      <c r="E845" s="25"/>
    </row>
    <row r="846" spans="5:5" ht="15.75" customHeight="1">
      <c r="E846" s="25"/>
    </row>
    <row r="847" spans="5:5" ht="15.75" customHeight="1">
      <c r="E847" s="25"/>
    </row>
    <row r="848" spans="5:5" ht="15.75" customHeight="1">
      <c r="E848" s="25"/>
    </row>
    <row r="849" spans="5:5" ht="15.75" customHeight="1">
      <c r="E849" s="25"/>
    </row>
    <row r="850" spans="5:5" ht="15.75" customHeight="1">
      <c r="E850" s="25"/>
    </row>
    <row r="851" spans="5:5" ht="15.75" customHeight="1">
      <c r="E851" s="21"/>
    </row>
    <row r="852" spans="5:5" ht="15.75" customHeight="1">
      <c r="E852" s="22"/>
    </row>
    <row r="853" spans="5:5" ht="15.75" customHeight="1">
      <c r="E853" s="22" t="s">
        <v>5</v>
      </c>
    </row>
    <row r="854" spans="5:5" ht="15.75" customHeight="1">
      <c r="E854" s="29"/>
    </row>
    <row r="855" spans="5:5" ht="15.75" customHeight="1">
      <c r="E855" s="29"/>
    </row>
    <row r="856" spans="5:5" ht="15.75" customHeight="1">
      <c r="E856" s="29"/>
    </row>
    <row r="857" spans="5:5" ht="15.75" customHeight="1">
      <c r="E857" s="29"/>
    </row>
    <row r="858" spans="5:5" ht="15.75" customHeight="1">
      <c r="E858" s="29"/>
    </row>
    <row r="859" spans="5:5" ht="15.75" customHeight="1">
      <c r="E859" s="29"/>
    </row>
    <row r="860" spans="5:5" ht="15.75" customHeight="1">
      <c r="E860" s="29"/>
    </row>
    <row r="861" spans="5:5" ht="15.75" customHeight="1">
      <c r="E861" s="29"/>
    </row>
    <row r="862" spans="5:5" ht="15.75" customHeight="1">
      <c r="E862" s="29"/>
    </row>
    <row r="863" spans="5:5" ht="15.75" customHeight="1">
      <c r="E863" s="29"/>
    </row>
    <row r="864" spans="5:5" ht="15.75" customHeight="1">
      <c r="E864" s="29"/>
    </row>
    <row r="865" spans="5:5" ht="15.75" customHeight="1">
      <c r="E865" s="29"/>
    </row>
    <row r="866" spans="5:5" ht="15.75" customHeight="1">
      <c r="E866" s="29"/>
    </row>
    <row r="867" spans="5:5" ht="15.75" customHeight="1">
      <c r="E867" s="29"/>
    </row>
    <row r="868" spans="5:5" ht="15.75" customHeight="1">
      <c r="E868" s="29"/>
    </row>
    <row r="869" spans="5:5" ht="15.75" customHeight="1">
      <c r="E869" s="29"/>
    </row>
    <row r="870" spans="5:5" ht="15.75" customHeight="1">
      <c r="E870" s="29"/>
    </row>
    <row r="871" spans="5:5" ht="15.75" customHeight="1">
      <c r="E871" s="29"/>
    </row>
    <row r="872" spans="5:5" ht="15.75" customHeight="1">
      <c r="E872" s="29"/>
    </row>
    <row r="873" spans="5:5" ht="15.75" customHeight="1">
      <c r="E873" s="29"/>
    </row>
    <row r="874" spans="5:5" ht="15.75" customHeight="1">
      <c r="E874" s="29"/>
    </row>
    <row r="875" spans="5:5" ht="15.75" customHeight="1">
      <c r="E875" s="29"/>
    </row>
    <row r="876" spans="5:5" ht="15.75" customHeight="1">
      <c r="E876" s="29"/>
    </row>
    <row r="877" spans="5:5" ht="15.75" customHeight="1">
      <c r="E877" s="29"/>
    </row>
    <row r="878" spans="5:5" ht="15.75" customHeight="1">
      <c r="E878" s="29"/>
    </row>
    <row r="879" spans="5:5" ht="15.75" customHeight="1">
      <c r="E879" s="29"/>
    </row>
    <row r="880" spans="5:5" ht="15.75" customHeight="1">
      <c r="E880" s="29"/>
    </row>
    <row r="881" spans="5:5" ht="15.75" customHeight="1">
      <c r="E881" s="25"/>
    </row>
    <row r="882" spans="5:5" ht="15.75" customHeight="1">
      <c r="E882" s="25"/>
    </row>
    <row r="883" spans="5:5" ht="15.75" customHeight="1">
      <c r="E883" s="25"/>
    </row>
    <row r="884" spans="5:5" ht="15.75" customHeight="1">
      <c r="E884" s="25"/>
    </row>
    <row r="885" spans="5:5" ht="15.75" customHeight="1">
      <c r="E885" s="25"/>
    </row>
    <row r="886" spans="5:5" ht="15.75" customHeight="1">
      <c r="E886" s="25"/>
    </row>
    <row r="887" spans="5:5" ht="15.75" customHeight="1">
      <c r="E887" s="25"/>
    </row>
    <row r="888" spans="5:5" ht="15.75" customHeight="1">
      <c r="E888" s="25"/>
    </row>
    <row r="889" spans="5:5" ht="15.75" customHeight="1">
      <c r="E889" s="25"/>
    </row>
    <row r="890" spans="5:5" ht="15.75" customHeight="1">
      <c r="E890" s="25"/>
    </row>
    <row r="891" spans="5:5" ht="15.75" customHeight="1">
      <c r="E891" s="25"/>
    </row>
    <row r="892" spans="5:5" ht="15.75" customHeight="1">
      <c r="E892" s="25"/>
    </row>
    <row r="893" spans="5:5" ht="15.75" customHeight="1">
      <c r="E893" s="25"/>
    </row>
    <row r="894" spans="5:5" ht="15.75" customHeight="1">
      <c r="E894" s="25"/>
    </row>
    <row r="895" spans="5:5" ht="15.75" customHeight="1">
      <c r="E895" s="25"/>
    </row>
    <row r="896" spans="5:5" ht="15.75" customHeight="1">
      <c r="E896" s="25"/>
    </row>
    <row r="897" spans="5:5" ht="15.75" customHeight="1">
      <c r="E897" s="25"/>
    </row>
    <row r="898" spans="5:5" ht="15.75" customHeight="1">
      <c r="E898" s="25"/>
    </row>
    <row r="899" spans="5:5" ht="15.75" customHeight="1">
      <c r="E899" s="25"/>
    </row>
    <row r="900" spans="5:5" ht="15.75" customHeight="1">
      <c r="E900" s="25"/>
    </row>
    <row r="901" spans="5:5" ht="15.75" customHeight="1"/>
    <row r="902" spans="5:5" ht="15.75" customHeight="1"/>
    <row r="903" spans="5:5" ht="15.75" customHeight="1"/>
    <row r="904" spans="5:5" ht="15.75" customHeight="1"/>
    <row r="905" spans="5:5" ht="15.75" customHeight="1"/>
    <row r="906" spans="5:5" ht="15.75" customHeight="1"/>
    <row r="907" spans="5:5" ht="15.75" customHeight="1"/>
    <row r="908" spans="5:5" ht="15.75" customHeight="1"/>
    <row r="909" spans="5:5" ht="15.75" customHeight="1"/>
    <row r="910" spans="5:5" ht="15.75" customHeight="1"/>
    <row r="911" spans="5:5" ht="15.75" customHeight="1"/>
    <row r="912" spans="5:5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C00-000000000000}">
          <x14:formula1>
            <xm:f>códigos!$E:$E</xm:f>
          </x14:formula1>
          <xm:sqref>E4:E30 E54:E80 E104:E130 E154:E180 E204:E230 E254:E280 E304:E330 E354:E380 E404:E430 E454:E480 E504:E530 E554:E580 E604:E630 E654:E680 E704:E730 E754:E780 E804:E830 E854:E880</xm:sqref>
        </x14:dataValidation>
        <x14:dataValidation type="list" allowBlank="1" showErrorMessage="1" xr:uid="{00000000-0002-0000-0C00-000001000000}">
          <x14:formula1>
            <xm:f>códigos!$B:$B</xm:f>
          </x14:formula1>
          <xm:sqref>C4:C30</xm:sqref>
        </x14:dataValidation>
        <x14:dataValidation type="list" allowBlank="1" showErrorMessage="1" xr:uid="{00000000-0002-0000-0C00-000003000000}">
          <x14:formula1>
            <xm:f>códigos!$O:$O</xm:f>
          </x14:formula1>
          <xm:sqref>G4:G30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29"/>
  <sheetViews>
    <sheetView showGridLines="0" workbookViewId="0"/>
  </sheetViews>
  <sheetFormatPr baseColWidth="10" defaultColWidth="14.5" defaultRowHeight="15" customHeight="1"/>
  <cols>
    <col min="3" max="3" width="40.5" customWidth="1"/>
  </cols>
  <sheetData>
    <row r="1" spans="1:4">
      <c r="A1" s="70" t="s">
        <v>3</v>
      </c>
      <c r="B1" s="70" t="s">
        <v>4</v>
      </c>
      <c r="C1" s="70" t="s">
        <v>7</v>
      </c>
      <c r="D1" s="75" t="s">
        <v>140</v>
      </c>
    </row>
    <row r="2" spans="1:4">
      <c r="A2" s="73" t="s">
        <v>71</v>
      </c>
      <c r="B2" s="71"/>
      <c r="C2" s="71"/>
      <c r="D2" s="79">
        <v>-310.5</v>
      </c>
    </row>
    <row r="3" spans="1:4">
      <c r="A3" s="73" t="s">
        <v>117</v>
      </c>
      <c r="B3" s="71"/>
      <c r="C3" s="71"/>
      <c r="D3" s="79">
        <v>-1456.5</v>
      </c>
    </row>
    <row r="4" spans="1:4">
      <c r="A4" s="73" t="s">
        <v>139</v>
      </c>
      <c r="B4" s="73" t="s">
        <v>142</v>
      </c>
      <c r="C4" s="76" t="s">
        <v>584</v>
      </c>
      <c r="D4" s="79"/>
    </row>
    <row r="5" spans="1:4">
      <c r="A5" s="73" t="s">
        <v>143</v>
      </c>
      <c r="B5" s="71"/>
      <c r="C5" s="71"/>
      <c r="D5" s="79"/>
    </row>
    <row r="6" spans="1:4">
      <c r="A6" s="73" t="s">
        <v>54</v>
      </c>
      <c r="B6" s="73" t="s">
        <v>144</v>
      </c>
      <c r="C6" s="76" t="s">
        <v>24</v>
      </c>
      <c r="D6" s="79">
        <v>-285.73</v>
      </c>
    </row>
    <row r="7" spans="1:4">
      <c r="A7" s="80"/>
      <c r="B7" s="80"/>
      <c r="C7" s="81" t="s">
        <v>53</v>
      </c>
      <c r="D7" s="84">
        <v>-4957.1000000000004</v>
      </c>
    </row>
    <row r="8" spans="1:4">
      <c r="A8" s="80"/>
      <c r="B8" s="80"/>
      <c r="C8" s="81" t="s">
        <v>76</v>
      </c>
      <c r="D8" s="84">
        <v>-783.74</v>
      </c>
    </row>
    <row r="9" spans="1:4">
      <c r="A9" s="80"/>
      <c r="B9" s="73" t="s">
        <v>145</v>
      </c>
      <c r="C9" s="76" t="s">
        <v>67</v>
      </c>
      <c r="D9" s="79">
        <v>-4000</v>
      </c>
    </row>
    <row r="10" spans="1:4">
      <c r="A10" s="80"/>
      <c r="B10" s="73" t="s">
        <v>146</v>
      </c>
      <c r="C10" s="76" t="s">
        <v>33</v>
      </c>
      <c r="D10" s="79">
        <v>-1500</v>
      </c>
    </row>
    <row r="11" spans="1:4">
      <c r="A11" s="73" t="s">
        <v>147</v>
      </c>
      <c r="B11" s="71"/>
      <c r="C11" s="71"/>
      <c r="D11" s="79">
        <v>-11526.57</v>
      </c>
    </row>
    <row r="12" spans="1:4">
      <c r="A12" s="73" t="s">
        <v>25</v>
      </c>
      <c r="B12" s="71"/>
      <c r="C12" s="71"/>
      <c r="D12" s="79">
        <v>-7542.52</v>
      </c>
    </row>
    <row r="13" spans="1:4">
      <c r="A13" s="73" t="s">
        <v>21</v>
      </c>
      <c r="B13" s="71"/>
      <c r="C13" s="71"/>
      <c r="D13" s="79">
        <v>-5788.4</v>
      </c>
    </row>
    <row r="14" spans="1:4">
      <c r="A14" s="73" t="s">
        <v>17</v>
      </c>
      <c r="B14" s="71"/>
      <c r="C14" s="71"/>
      <c r="D14" s="79">
        <v>-5603.53</v>
      </c>
    </row>
    <row r="15" spans="1:4">
      <c r="A15" s="73" t="s">
        <v>50</v>
      </c>
      <c r="B15" s="71"/>
      <c r="C15" s="71"/>
      <c r="D15" s="79">
        <v>-9543.9199999999983</v>
      </c>
    </row>
    <row r="16" spans="1:4">
      <c r="A16" s="73" t="s">
        <v>30</v>
      </c>
      <c r="B16" s="71"/>
      <c r="C16" s="71"/>
      <c r="D16" s="79">
        <v>1759.0800000000013</v>
      </c>
    </row>
    <row r="17" spans="1:4">
      <c r="A17" s="73" t="s">
        <v>47</v>
      </c>
      <c r="B17" s="71"/>
      <c r="C17" s="71"/>
      <c r="D17" s="79">
        <v>-5696.64</v>
      </c>
    </row>
    <row r="18" spans="1:4">
      <c r="A18" s="73" t="s">
        <v>40</v>
      </c>
      <c r="B18" s="71"/>
      <c r="C18" s="71"/>
      <c r="D18" s="79">
        <v>-4926.99</v>
      </c>
    </row>
    <row r="19" spans="1:4">
      <c r="A19" s="73" t="s">
        <v>93</v>
      </c>
      <c r="B19" s="71"/>
      <c r="C19" s="71"/>
      <c r="D19" s="79">
        <v>-3416</v>
      </c>
    </row>
    <row r="20" spans="1:4">
      <c r="A20" s="73" t="s">
        <v>89</v>
      </c>
      <c r="B20" s="71"/>
      <c r="C20" s="71"/>
      <c r="D20" s="79">
        <v>-11084.65</v>
      </c>
    </row>
    <row r="21" spans="1:4">
      <c r="A21" s="73" t="s">
        <v>97</v>
      </c>
      <c r="B21" s="71"/>
      <c r="C21" s="71"/>
      <c r="D21" s="79">
        <v>2176.19</v>
      </c>
    </row>
    <row r="22" spans="1:4">
      <c r="A22" s="73" t="s">
        <v>34</v>
      </c>
      <c r="B22" s="71"/>
      <c r="C22" s="71"/>
      <c r="D22" s="79">
        <v>-16868.849999999999</v>
      </c>
    </row>
    <row r="23" spans="1:4">
      <c r="A23" s="73" t="s">
        <v>37</v>
      </c>
      <c r="B23" s="71"/>
      <c r="C23" s="71"/>
      <c r="D23" s="79">
        <v>-2978</v>
      </c>
    </row>
    <row r="24" spans="1:4">
      <c r="A24" s="73" t="s">
        <v>58</v>
      </c>
      <c r="B24" s="73" t="s">
        <v>149</v>
      </c>
      <c r="C24" s="76" t="s">
        <v>28</v>
      </c>
      <c r="D24" s="79">
        <v>-490.51</v>
      </c>
    </row>
    <row r="25" spans="1:4">
      <c r="A25" s="80"/>
      <c r="B25" s="73" t="s">
        <v>150</v>
      </c>
      <c r="C25" s="76" t="s">
        <v>28</v>
      </c>
      <c r="D25" s="79">
        <v>-133.07</v>
      </c>
    </row>
    <row r="26" spans="1:4">
      <c r="A26" s="73" t="s">
        <v>151</v>
      </c>
      <c r="B26" s="71"/>
      <c r="C26" s="71"/>
      <c r="D26" s="79">
        <v>-623.57999999999993</v>
      </c>
    </row>
    <row r="27" spans="1:4">
      <c r="A27" s="73" t="s">
        <v>62</v>
      </c>
      <c r="B27" s="71"/>
      <c r="C27" s="71"/>
      <c r="D27" s="79">
        <v>-899</v>
      </c>
    </row>
    <row r="28" spans="1:4">
      <c r="A28" s="73" t="s">
        <v>584</v>
      </c>
      <c r="B28" s="73" t="s">
        <v>584</v>
      </c>
      <c r="C28" s="76" t="s">
        <v>584</v>
      </c>
      <c r="D28" s="79"/>
    </row>
    <row r="29" spans="1:4">
      <c r="A29" s="85" t="s">
        <v>585</v>
      </c>
      <c r="B29" s="86"/>
      <c r="C29" s="86"/>
      <c r="D29" s="8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10"/>
  <sheetViews>
    <sheetView showGridLines="0" workbookViewId="0"/>
  </sheetViews>
  <sheetFormatPr baseColWidth="10" defaultColWidth="14.5" defaultRowHeight="15" customHeight="1"/>
  <cols>
    <col min="3" max="3" width="40.5" customWidth="1"/>
  </cols>
  <sheetData>
    <row r="1" spans="1:6">
      <c r="A1" s="70" t="s">
        <v>140</v>
      </c>
      <c r="B1" s="71"/>
      <c r="C1" s="71"/>
      <c r="D1" s="70" t="s">
        <v>1</v>
      </c>
      <c r="E1" s="71"/>
      <c r="F1" s="72"/>
    </row>
    <row r="2" spans="1:6">
      <c r="A2" s="70" t="s">
        <v>0</v>
      </c>
      <c r="B2" s="70" t="s">
        <v>3</v>
      </c>
      <c r="C2" s="70" t="s">
        <v>7</v>
      </c>
      <c r="D2" s="73">
        <v>2</v>
      </c>
      <c r="E2" s="74">
        <v>3</v>
      </c>
      <c r="F2" s="75" t="s">
        <v>583</v>
      </c>
    </row>
    <row r="3" spans="1:6">
      <c r="A3" s="73" t="s">
        <v>152</v>
      </c>
      <c r="B3" s="73" t="s">
        <v>117</v>
      </c>
      <c r="C3" s="76" t="s">
        <v>76</v>
      </c>
      <c r="D3" s="77"/>
      <c r="E3" s="78">
        <v>-856.98</v>
      </c>
      <c r="F3" s="79">
        <v>-856.98</v>
      </c>
    </row>
    <row r="4" spans="1:6">
      <c r="A4" s="80"/>
      <c r="B4" s="73" t="s">
        <v>141</v>
      </c>
      <c r="C4" s="71"/>
      <c r="D4" s="77"/>
      <c r="E4" s="78">
        <v>-856.98</v>
      </c>
      <c r="F4" s="79">
        <v>-856.98</v>
      </c>
    </row>
    <row r="5" spans="1:6">
      <c r="A5" s="80"/>
      <c r="B5" s="73" t="s">
        <v>89</v>
      </c>
      <c r="C5" s="76" t="s">
        <v>102</v>
      </c>
      <c r="D5" s="77"/>
      <c r="E5" s="78">
        <v>-2286.1</v>
      </c>
      <c r="F5" s="79">
        <v>-2286.1</v>
      </c>
    </row>
    <row r="6" spans="1:6">
      <c r="A6" s="80"/>
      <c r="B6" s="80"/>
      <c r="C6" s="81" t="s">
        <v>28</v>
      </c>
      <c r="D6" s="82"/>
      <c r="E6" s="83">
        <v>-568.70000000000005</v>
      </c>
      <c r="F6" s="84">
        <v>-568.70000000000005</v>
      </c>
    </row>
    <row r="7" spans="1:6">
      <c r="A7" s="80"/>
      <c r="B7" s="80"/>
      <c r="C7" s="81" t="s">
        <v>92</v>
      </c>
      <c r="D7" s="82">
        <v>-2085.2399999999998</v>
      </c>
      <c r="E7" s="83"/>
      <c r="F7" s="84">
        <v>-2085.2399999999998</v>
      </c>
    </row>
    <row r="8" spans="1:6">
      <c r="A8" s="80"/>
      <c r="B8" s="73" t="s">
        <v>148</v>
      </c>
      <c r="C8" s="71"/>
      <c r="D8" s="77">
        <v>-2085.2399999999998</v>
      </c>
      <c r="E8" s="78">
        <v>-2854.8</v>
      </c>
      <c r="F8" s="79">
        <v>-4940.04</v>
      </c>
    </row>
    <row r="9" spans="1:6">
      <c r="A9" s="73" t="s">
        <v>153</v>
      </c>
      <c r="B9" s="71"/>
      <c r="C9" s="71"/>
      <c r="D9" s="77">
        <v>-2085.2399999999998</v>
      </c>
      <c r="E9" s="78">
        <v>-3711.7799999999997</v>
      </c>
      <c r="F9" s="79">
        <v>-5797.0199999999995</v>
      </c>
    </row>
    <row r="10" spans="1:6">
      <c r="A10" s="85" t="s">
        <v>583</v>
      </c>
      <c r="B10" s="86"/>
      <c r="C10" s="86"/>
      <c r="D10" s="87">
        <v>-2085.2399999999998</v>
      </c>
      <c r="E10" s="88">
        <v>-3711.7799999999997</v>
      </c>
      <c r="F10" s="89">
        <v>-5797.0199999999995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1000"/>
  <sheetViews>
    <sheetView showGridLines="0" workbookViewId="0"/>
  </sheetViews>
  <sheetFormatPr baseColWidth="10" defaultColWidth="14.5" defaultRowHeight="15" customHeight="1"/>
  <cols>
    <col min="3" max="3" width="40.5" customWidth="1"/>
  </cols>
  <sheetData>
    <row r="1" spans="1:16">
      <c r="A1" s="70" t="s">
        <v>140</v>
      </c>
      <c r="B1" s="71"/>
      <c r="C1" s="70" t="s">
        <v>1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2"/>
    </row>
    <row r="2" spans="1:16">
      <c r="A2" s="70" t="s">
        <v>5</v>
      </c>
      <c r="B2" s="70" t="s">
        <v>7</v>
      </c>
      <c r="C2" s="73">
        <v>1</v>
      </c>
      <c r="D2" s="74">
        <v>2</v>
      </c>
      <c r="E2" s="74">
        <v>3</v>
      </c>
      <c r="F2" s="74">
        <v>4</v>
      </c>
      <c r="G2" s="74">
        <v>5</v>
      </c>
      <c r="H2" s="74">
        <v>6</v>
      </c>
      <c r="I2" s="74">
        <v>7</v>
      </c>
      <c r="J2" s="74">
        <v>8</v>
      </c>
      <c r="K2" s="74">
        <v>9</v>
      </c>
      <c r="L2" s="74">
        <v>10</v>
      </c>
      <c r="M2" s="74">
        <v>11</v>
      </c>
      <c r="N2" s="74">
        <v>12</v>
      </c>
      <c r="O2" s="74" t="s">
        <v>584</v>
      </c>
      <c r="P2" s="75" t="s">
        <v>583</v>
      </c>
    </row>
    <row r="3" spans="1:16">
      <c r="A3" s="73" t="s">
        <v>57</v>
      </c>
      <c r="B3" s="76" t="s">
        <v>28</v>
      </c>
      <c r="C3" s="77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>
      <c r="A4" s="73" t="s">
        <v>154</v>
      </c>
      <c r="B4" s="71"/>
      <c r="C4" s="77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9"/>
    </row>
    <row r="5" spans="1:16">
      <c r="A5" s="73" t="s">
        <v>125</v>
      </c>
      <c r="B5" s="76" t="s">
        <v>28</v>
      </c>
      <c r="C5" s="77"/>
      <c r="D5" s="78"/>
      <c r="E5" s="78">
        <v>-490.51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9">
        <v>-490.51</v>
      </c>
    </row>
    <row r="6" spans="1:16">
      <c r="A6" s="73" t="s">
        <v>155</v>
      </c>
      <c r="B6" s="71"/>
      <c r="C6" s="77"/>
      <c r="D6" s="78"/>
      <c r="E6" s="78">
        <v>-490.51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9">
        <v>-490.51</v>
      </c>
    </row>
    <row r="7" spans="1:16">
      <c r="A7" s="73" t="s">
        <v>98</v>
      </c>
      <c r="B7" s="76" t="s">
        <v>28</v>
      </c>
      <c r="C7" s="77"/>
      <c r="D7" s="78"/>
      <c r="E7" s="78">
        <v>2176.19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9">
        <v>2176.19</v>
      </c>
    </row>
    <row r="8" spans="1:16">
      <c r="A8" s="73" t="s">
        <v>156</v>
      </c>
      <c r="B8" s="71"/>
      <c r="C8" s="77"/>
      <c r="D8" s="78"/>
      <c r="E8" s="78">
        <v>2176.19</v>
      </c>
      <c r="F8" s="78"/>
      <c r="G8" s="78"/>
      <c r="H8" s="78"/>
      <c r="I8" s="78"/>
      <c r="J8" s="78"/>
      <c r="K8" s="78"/>
      <c r="L8" s="78"/>
      <c r="M8" s="78"/>
      <c r="N8" s="78"/>
      <c r="O8" s="78"/>
      <c r="P8" s="79">
        <v>2176.19</v>
      </c>
    </row>
    <row r="9" spans="1:16">
      <c r="A9" s="73" t="s">
        <v>78</v>
      </c>
      <c r="B9" s="76" t="s">
        <v>28</v>
      </c>
      <c r="C9" s="77"/>
      <c r="D9" s="78">
        <v>-609.9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9">
        <v>-609.9</v>
      </c>
    </row>
    <row r="10" spans="1:16">
      <c r="A10" s="73" t="s">
        <v>157</v>
      </c>
      <c r="B10" s="71"/>
      <c r="C10" s="77"/>
      <c r="D10" s="78">
        <v>-609.9</v>
      </c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9">
        <v>-609.9</v>
      </c>
    </row>
    <row r="11" spans="1:16">
      <c r="A11" s="73" t="s">
        <v>132</v>
      </c>
      <c r="B11" s="76" t="s">
        <v>134</v>
      </c>
      <c r="C11" s="77">
        <v>-1398.88</v>
      </c>
      <c r="D11" s="78">
        <v>-1398.88</v>
      </c>
      <c r="E11" s="78">
        <v>-1398.88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9">
        <v>-4196.6400000000003</v>
      </c>
    </row>
    <row r="12" spans="1:16">
      <c r="A12" s="73" t="s">
        <v>158</v>
      </c>
      <c r="B12" s="71"/>
      <c r="C12" s="77">
        <v>-1398.88</v>
      </c>
      <c r="D12" s="78">
        <v>-1398.88</v>
      </c>
      <c r="E12" s="78">
        <v>-1398.88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9">
        <v>-4196.6400000000003</v>
      </c>
    </row>
    <row r="13" spans="1:16">
      <c r="A13" s="73" t="s">
        <v>90</v>
      </c>
      <c r="B13" s="76" t="s">
        <v>102</v>
      </c>
      <c r="C13" s="77"/>
      <c r="D13" s="78"/>
      <c r="E13" s="78">
        <v>-2286.1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9">
        <v>-2286.1</v>
      </c>
    </row>
    <row r="14" spans="1:16">
      <c r="A14" s="80"/>
      <c r="B14" s="81" t="s">
        <v>28</v>
      </c>
      <c r="C14" s="82"/>
      <c r="D14" s="83"/>
      <c r="E14" s="83">
        <v>-568.70000000000005</v>
      </c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4">
        <v>-568.70000000000005</v>
      </c>
    </row>
    <row r="15" spans="1:16">
      <c r="A15" s="80"/>
      <c r="B15" s="81" t="s">
        <v>92</v>
      </c>
      <c r="C15" s="82"/>
      <c r="D15" s="83">
        <v>-2085.2399999999998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4">
        <v>-2085.2399999999998</v>
      </c>
    </row>
    <row r="16" spans="1:16">
      <c r="A16" s="80"/>
      <c r="B16" s="81" t="s">
        <v>76</v>
      </c>
      <c r="C16" s="82"/>
      <c r="D16" s="83"/>
      <c r="E16" s="83">
        <v>-856.98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4">
        <v>-856.98</v>
      </c>
    </row>
    <row r="17" spans="1:16">
      <c r="A17" s="73" t="s">
        <v>159</v>
      </c>
      <c r="B17" s="71"/>
      <c r="C17" s="77"/>
      <c r="D17" s="78">
        <v>-2085.2399999999998</v>
      </c>
      <c r="E17" s="78">
        <v>-3711.78</v>
      </c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9">
        <v>-5797.02</v>
      </c>
    </row>
    <row r="18" spans="1:16">
      <c r="A18" s="73" t="s">
        <v>69</v>
      </c>
      <c r="B18" s="76" t="s">
        <v>33</v>
      </c>
      <c r="C18" s="77"/>
      <c r="D18" s="78">
        <v>-626.99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9">
        <v>-626.99</v>
      </c>
    </row>
    <row r="19" spans="1:16">
      <c r="A19" s="73" t="s">
        <v>160</v>
      </c>
      <c r="B19" s="71"/>
      <c r="C19" s="77"/>
      <c r="D19" s="78">
        <v>-626.99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9">
        <v>-626.99</v>
      </c>
    </row>
    <row r="20" spans="1:16">
      <c r="A20" s="73" t="s">
        <v>44</v>
      </c>
      <c r="B20" s="76" t="s">
        <v>28</v>
      </c>
      <c r="C20" s="77">
        <v>-2772.26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9">
        <v>-2772.26</v>
      </c>
    </row>
    <row r="21" spans="1:16">
      <c r="A21" s="73" t="s">
        <v>161</v>
      </c>
      <c r="B21" s="71"/>
      <c r="C21" s="77">
        <v>-2772.26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9">
        <v>-2772.26</v>
      </c>
    </row>
    <row r="22" spans="1:16">
      <c r="A22" s="73" t="s">
        <v>51</v>
      </c>
      <c r="B22" s="76" t="s">
        <v>53</v>
      </c>
      <c r="C22" s="77">
        <v>-4701.07</v>
      </c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9">
        <v>-4701.07</v>
      </c>
    </row>
    <row r="23" spans="1:16">
      <c r="A23" s="73" t="s">
        <v>162</v>
      </c>
      <c r="B23" s="71"/>
      <c r="C23" s="77">
        <v>-4701.07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9">
        <v>-4701.07</v>
      </c>
    </row>
    <row r="24" spans="1:16">
      <c r="A24" s="73" t="s">
        <v>109</v>
      </c>
      <c r="B24" s="76" t="s">
        <v>33</v>
      </c>
      <c r="C24" s="77"/>
      <c r="D24" s="78"/>
      <c r="E24" s="78">
        <v>-2268.6</v>
      </c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9">
        <v>-2268.6</v>
      </c>
    </row>
    <row r="25" spans="1:16">
      <c r="A25" s="73" t="s">
        <v>163</v>
      </c>
      <c r="B25" s="71"/>
      <c r="C25" s="77"/>
      <c r="D25" s="78"/>
      <c r="E25" s="78">
        <v>-2268.6</v>
      </c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9">
        <v>-2268.6</v>
      </c>
    </row>
    <row r="26" spans="1:16">
      <c r="A26" s="73" t="s">
        <v>100</v>
      </c>
      <c r="B26" s="76" t="s">
        <v>102</v>
      </c>
      <c r="C26" s="77"/>
      <c r="D26" s="78"/>
      <c r="E26" s="78">
        <v>-4215.8599999999997</v>
      </c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9">
        <v>-4215.8599999999997</v>
      </c>
    </row>
    <row r="27" spans="1:16">
      <c r="A27" s="73" t="s">
        <v>164</v>
      </c>
      <c r="B27" s="71"/>
      <c r="C27" s="77"/>
      <c r="D27" s="78"/>
      <c r="E27" s="78">
        <v>-4215.8599999999997</v>
      </c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9">
        <v>-4215.8599999999997</v>
      </c>
    </row>
    <row r="28" spans="1:16">
      <c r="A28" s="73" t="s">
        <v>85</v>
      </c>
      <c r="B28" s="76" t="s">
        <v>28</v>
      </c>
      <c r="C28" s="77"/>
      <c r="D28" s="78">
        <v>-1000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9">
        <v>-1000</v>
      </c>
    </row>
    <row r="29" spans="1:16">
      <c r="A29" s="73" t="s">
        <v>165</v>
      </c>
      <c r="B29" s="71"/>
      <c r="C29" s="77"/>
      <c r="D29" s="78">
        <v>-1000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9">
        <v>-1000</v>
      </c>
    </row>
    <row r="30" spans="1:16">
      <c r="A30" s="73" t="s">
        <v>88</v>
      </c>
      <c r="B30" s="76" t="s">
        <v>28</v>
      </c>
      <c r="C30" s="77"/>
      <c r="D30" s="78">
        <v>-600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9">
        <v>-600</v>
      </c>
    </row>
    <row r="31" spans="1:16">
      <c r="A31" s="73" t="s">
        <v>166</v>
      </c>
      <c r="B31" s="71"/>
      <c r="C31" s="77"/>
      <c r="D31" s="78">
        <v>-600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9">
        <v>-600</v>
      </c>
    </row>
    <row r="32" spans="1:16">
      <c r="A32" s="73" t="s">
        <v>35</v>
      </c>
      <c r="B32" s="76" t="s">
        <v>33</v>
      </c>
      <c r="C32" s="77">
        <v>-1289</v>
      </c>
      <c r="D32" s="78"/>
      <c r="E32" s="78"/>
      <c r="F32" s="78">
        <v>-899</v>
      </c>
      <c r="G32" s="78"/>
      <c r="H32" s="78"/>
      <c r="I32" s="78"/>
      <c r="J32" s="78"/>
      <c r="K32" s="78"/>
      <c r="L32" s="78"/>
      <c r="M32" s="78"/>
      <c r="N32" s="78"/>
      <c r="O32" s="78"/>
      <c r="P32" s="79">
        <v>-2188</v>
      </c>
    </row>
    <row r="33" spans="1:16">
      <c r="A33" s="73" t="s">
        <v>167</v>
      </c>
      <c r="B33" s="71"/>
      <c r="C33" s="77">
        <v>-1289</v>
      </c>
      <c r="D33" s="78"/>
      <c r="E33" s="78"/>
      <c r="F33" s="78">
        <v>-899</v>
      </c>
      <c r="G33" s="78"/>
      <c r="H33" s="78"/>
      <c r="I33" s="78"/>
      <c r="J33" s="78"/>
      <c r="K33" s="78"/>
      <c r="L33" s="78"/>
      <c r="M33" s="78"/>
      <c r="N33" s="78"/>
      <c r="O33" s="78"/>
      <c r="P33" s="79">
        <v>-2188</v>
      </c>
    </row>
    <row r="34" spans="1:16">
      <c r="A34" s="73" t="s">
        <v>59</v>
      </c>
      <c r="B34" s="76" t="s">
        <v>28</v>
      </c>
      <c r="C34" s="77">
        <v>-133.07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9">
        <v>-133.07</v>
      </c>
    </row>
    <row r="35" spans="1:16">
      <c r="A35" s="73" t="s">
        <v>168</v>
      </c>
      <c r="B35" s="71"/>
      <c r="C35" s="77">
        <v>-133.07</v>
      </c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9">
        <v>-133.07</v>
      </c>
    </row>
    <row r="36" spans="1:16">
      <c r="A36" s="73" t="s">
        <v>29</v>
      </c>
      <c r="B36" s="76" t="s">
        <v>28</v>
      </c>
      <c r="C36" s="77">
        <v>-1663.35</v>
      </c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9">
        <v>-1663.35</v>
      </c>
    </row>
    <row r="37" spans="1:16">
      <c r="A37" s="73" t="s">
        <v>169</v>
      </c>
      <c r="B37" s="71"/>
      <c r="C37" s="77">
        <v>-1663.35</v>
      </c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9">
        <v>-1663.35</v>
      </c>
    </row>
    <row r="38" spans="1:16">
      <c r="A38" s="73" t="s">
        <v>94</v>
      </c>
      <c r="B38" s="76" t="s">
        <v>53</v>
      </c>
      <c r="C38" s="77"/>
      <c r="D38" s="78">
        <v>-3098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9">
        <v>-3098</v>
      </c>
    </row>
    <row r="39" spans="1:16">
      <c r="A39" s="80"/>
      <c r="B39" s="81" t="s">
        <v>129</v>
      </c>
      <c r="C39" s="82"/>
      <c r="D39" s="83"/>
      <c r="E39" s="83">
        <v>-318</v>
      </c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4">
        <v>-318</v>
      </c>
    </row>
    <row r="40" spans="1:16">
      <c r="A40" s="73" t="s">
        <v>170</v>
      </c>
      <c r="B40" s="71"/>
      <c r="C40" s="77"/>
      <c r="D40" s="78">
        <v>-3098</v>
      </c>
      <c r="E40" s="78">
        <v>-318</v>
      </c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9">
        <v>-3416</v>
      </c>
    </row>
    <row r="41" spans="1:16">
      <c r="A41" s="73" t="s">
        <v>123</v>
      </c>
      <c r="B41" s="76" t="s">
        <v>53</v>
      </c>
      <c r="C41" s="77"/>
      <c r="D41" s="78"/>
      <c r="E41" s="78">
        <v>-13700</v>
      </c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9">
        <v>-13700</v>
      </c>
    </row>
    <row r="42" spans="1:16">
      <c r="A42" s="73" t="s">
        <v>171</v>
      </c>
      <c r="B42" s="71"/>
      <c r="C42" s="77"/>
      <c r="D42" s="78"/>
      <c r="E42" s="78">
        <v>-13700</v>
      </c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9">
        <v>-13700</v>
      </c>
    </row>
    <row r="43" spans="1:16">
      <c r="A43" s="73" t="s">
        <v>77</v>
      </c>
      <c r="B43" s="76" t="s">
        <v>28</v>
      </c>
      <c r="C43" s="77"/>
      <c r="D43" s="78">
        <v>-609.9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9">
        <v>-609.9</v>
      </c>
    </row>
    <row r="44" spans="1:16">
      <c r="A44" s="73" t="s">
        <v>172</v>
      </c>
      <c r="B44" s="71"/>
      <c r="C44" s="77"/>
      <c r="D44" s="78">
        <v>-609.9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9">
        <v>-609.9</v>
      </c>
    </row>
    <row r="45" spans="1:16">
      <c r="A45" s="73" t="s">
        <v>74</v>
      </c>
      <c r="B45" s="76" t="s">
        <v>24</v>
      </c>
      <c r="C45" s="77"/>
      <c r="D45" s="78"/>
      <c r="E45" s="78">
        <v>-285.73</v>
      </c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9">
        <v>-285.73</v>
      </c>
    </row>
    <row r="46" spans="1:16">
      <c r="A46" s="80"/>
      <c r="B46" s="81" t="s">
        <v>53</v>
      </c>
      <c r="C46" s="82"/>
      <c r="D46" s="83">
        <v>-4957.1000000000004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4">
        <v>-4957.1000000000004</v>
      </c>
    </row>
    <row r="47" spans="1:16">
      <c r="A47" s="80"/>
      <c r="B47" s="81" t="s">
        <v>76</v>
      </c>
      <c r="C47" s="82"/>
      <c r="D47" s="83">
        <v>-783.74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4">
        <v>-783.74</v>
      </c>
    </row>
    <row r="48" spans="1:16">
      <c r="A48" s="73" t="s">
        <v>173</v>
      </c>
      <c r="B48" s="71"/>
      <c r="C48" s="77"/>
      <c r="D48" s="78">
        <v>-5740.84</v>
      </c>
      <c r="E48" s="78">
        <v>-285.73</v>
      </c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9">
        <v>-6026.57</v>
      </c>
    </row>
    <row r="49" spans="1:16">
      <c r="A49" s="73" t="s">
        <v>131</v>
      </c>
      <c r="B49" s="76" t="s">
        <v>28</v>
      </c>
      <c r="C49" s="77"/>
      <c r="D49" s="78"/>
      <c r="E49" s="78">
        <v>-600</v>
      </c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9">
        <v>-600</v>
      </c>
    </row>
    <row r="50" spans="1:16">
      <c r="A50" s="73" t="s">
        <v>174</v>
      </c>
      <c r="B50" s="71"/>
      <c r="C50" s="77"/>
      <c r="D50" s="78"/>
      <c r="E50" s="78">
        <v>-600</v>
      </c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9">
        <v>-600</v>
      </c>
    </row>
    <row r="51" spans="1:16">
      <c r="A51" s="73" t="s">
        <v>63</v>
      </c>
      <c r="B51" s="76" t="s">
        <v>33</v>
      </c>
      <c r="C51" s="77"/>
      <c r="D51" s="78">
        <v>-899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9">
        <v>-899</v>
      </c>
    </row>
    <row r="52" spans="1:16">
      <c r="A52" s="73" t="s">
        <v>175</v>
      </c>
      <c r="B52" s="71"/>
      <c r="C52" s="77"/>
      <c r="D52" s="78">
        <v>-899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9">
        <v>-899</v>
      </c>
    </row>
    <row r="53" spans="1:16">
      <c r="A53" s="73" t="s">
        <v>31</v>
      </c>
      <c r="B53" s="76" t="s">
        <v>33</v>
      </c>
      <c r="C53" s="77">
        <v>-899.98</v>
      </c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9">
        <v>-899.98</v>
      </c>
    </row>
    <row r="54" spans="1:16">
      <c r="A54" s="80"/>
      <c r="B54" s="81" t="s">
        <v>20</v>
      </c>
      <c r="C54" s="82"/>
      <c r="D54" s="83">
        <v>5025</v>
      </c>
      <c r="E54" s="83">
        <v>-2365.94</v>
      </c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4">
        <v>2659.06</v>
      </c>
    </row>
    <row r="55" spans="1:16">
      <c r="A55" s="73" t="s">
        <v>176</v>
      </c>
      <c r="B55" s="71"/>
      <c r="C55" s="77">
        <v>-899.98</v>
      </c>
      <c r="D55" s="78">
        <v>5025</v>
      </c>
      <c r="E55" s="78">
        <v>-2365.94</v>
      </c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9">
        <v>1759.08</v>
      </c>
    </row>
    <row r="56" spans="1:16">
      <c r="A56" s="73" t="s">
        <v>41</v>
      </c>
      <c r="B56" s="76" t="s">
        <v>43</v>
      </c>
      <c r="C56" s="77">
        <v>-973</v>
      </c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9">
        <v>-973</v>
      </c>
    </row>
    <row r="57" spans="1:16">
      <c r="A57" s="73" t="s">
        <v>177</v>
      </c>
      <c r="B57" s="71"/>
      <c r="C57" s="77">
        <v>-973</v>
      </c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9">
        <v>-973</v>
      </c>
    </row>
    <row r="58" spans="1:16">
      <c r="A58" s="73" t="s">
        <v>65</v>
      </c>
      <c r="B58" s="76" t="s">
        <v>67</v>
      </c>
      <c r="C58" s="77"/>
      <c r="D58" s="78">
        <v>-4000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9">
        <v>-4000</v>
      </c>
    </row>
    <row r="59" spans="1:16">
      <c r="A59" s="73" t="s">
        <v>178</v>
      </c>
      <c r="B59" s="71"/>
      <c r="C59" s="77"/>
      <c r="D59" s="78">
        <v>-4000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9">
        <v>-4000</v>
      </c>
    </row>
    <row r="60" spans="1:16">
      <c r="A60" s="73" t="s">
        <v>72</v>
      </c>
      <c r="B60" s="76" t="s">
        <v>28</v>
      </c>
      <c r="C60" s="77">
        <v>-310.5</v>
      </c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9">
        <v>-310.5</v>
      </c>
    </row>
    <row r="61" spans="1:16">
      <c r="A61" s="73" t="s">
        <v>179</v>
      </c>
      <c r="B61" s="71"/>
      <c r="C61" s="77">
        <v>-310.5</v>
      </c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9">
        <v>-310.5</v>
      </c>
    </row>
    <row r="62" spans="1:16">
      <c r="A62" s="73" t="s">
        <v>111</v>
      </c>
      <c r="B62" s="76" t="s">
        <v>33</v>
      </c>
      <c r="C62" s="77"/>
      <c r="D62" s="78"/>
      <c r="E62" s="78">
        <v>-2568</v>
      </c>
      <c r="F62" s="78">
        <v>-1400.42</v>
      </c>
      <c r="G62" s="78"/>
      <c r="H62" s="78"/>
      <c r="I62" s="78"/>
      <c r="J62" s="78"/>
      <c r="K62" s="78"/>
      <c r="L62" s="78"/>
      <c r="M62" s="78"/>
      <c r="N62" s="78"/>
      <c r="O62" s="78"/>
      <c r="P62" s="79">
        <v>-3968.42</v>
      </c>
    </row>
    <row r="63" spans="1:16">
      <c r="A63" s="73" t="s">
        <v>180</v>
      </c>
      <c r="B63" s="71"/>
      <c r="C63" s="77"/>
      <c r="D63" s="78"/>
      <c r="E63" s="78">
        <v>-2568</v>
      </c>
      <c r="F63" s="78">
        <v>-1400.42</v>
      </c>
      <c r="G63" s="78"/>
      <c r="H63" s="78"/>
      <c r="I63" s="78"/>
      <c r="J63" s="78"/>
      <c r="K63" s="78"/>
      <c r="L63" s="78"/>
      <c r="M63" s="78"/>
      <c r="N63" s="78"/>
      <c r="O63" s="78"/>
      <c r="P63" s="79">
        <v>-3968.42</v>
      </c>
    </row>
    <row r="64" spans="1:16">
      <c r="A64" s="73" t="s">
        <v>60</v>
      </c>
      <c r="B64" s="76" t="s">
        <v>28</v>
      </c>
      <c r="C64" s="77"/>
      <c r="D64" s="78">
        <v>-2772.25</v>
      </c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9">
        <v>-2772.25</v>
      </c>
    </row>
    <row r="65" spans="1:16">
      <c r="A65" s="73" t="s">
        <v>181</v>
      </c>
      <c r="B65" s="71"/>
      <c r="C65" s="77"/>
      <c r="D65" s="78">
        <v>-2772.25</v>
      </c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9">
        <v>-2772.25</v>
      </c>
    </row>
    <row r="66" spans="1:16">
      <c r="A66" s="73" t="s">
        <v>118</v>
      </c>
      <c r="B66" s="76" t="s">
        <v>28</v>
      </c>
      <c r="C66" s="77"/>
      <c r="D66" s="78"/>
      <c r="E66" s="78">
        <v>-599.52</v>
      </c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9">
        <v>-599.52</v>
      </c>
    </row>
    <row r="67" spans="1:16">
      <c r="A67" s="73" t="s">
        <v>182</v>
      </c>
      <c r="B67" s="71"/>
      <c r="C67" s="77"/>
      <c r="D67" s="78"/>
      <c r="E67" s="78">
        <v>-599.52</v>
      </c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9">
        <v>-599.52</v>
      </c>
    </row>
    <row r="68" spans="1:16">
      <c r="A68" s="73" t="s">
        <v>38</v>
      </c>
      <c r="B68" s="76" t="s">
        <v>28</v>
      </c>
      <c r="C68" s="77">
        <v>-205.75</v>
      </c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9">
        <v>-205.75</v>
      </c>
    </row>
    <row r="69" spans="1:16">
      <c r="A69" s="73" t="s">
        <v>183</v>
      </c>
      <c r="B69" s="71"/>
      <c r="C69" s="77">
        <v>-205.75</v>
      </c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9">
        <v>-205.75</v>
      </c>
    </row>
    <row r="70" spans="1:16">
      <c r="A70" s="73" t="s">
        <v>114</v>
      </c>
      <c r="B70" s="76" t="s">
        <v>24</v>
      </c>
      <c r="C70" s="77"/>
      <c r="D70" s="78"/>
      <c r="E70" s="78">
        <v>-1171.53</v>
      </c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9">
        <v>-1171.53</v>
      </c>
    </row>
    <row r="71" spans="1:16">
      <c r="A71" s="73" t="s">
        <v>184</v>
      </c>
      <c r="B71" s="71"/>
      <c r="C71" s="77"/>
      <c r="D71" s="78"/>
      <c r="E71" s="78">
        <v>-1171.53</v>
      </c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9">
        <v>-1171.53</v>
      </c>
    </row>
    <row r="72" spans="1:16">
      <c r="A72" s="73" t="s">
        <v>18</v>
      </c>
      <c r="B72" s="76" t="s">
        <v>20</v>
      </c>
      <c r="C72" s="77">
        <v>-4432</v>
      </c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9">
        <v>-4432</v>
      </c>
    </row>
    <row r="73" spans="1:16">
      <c r="A73" s="73" t="s">
        <v>185</v>
      </c>
      <c r="B73" s="71"/>
      <c r="C73" s="77">
        <v>-4432</v>
      </c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9">
        <v>-4432</v>
      </c>
    </row>
    <row r="74" spans="1:16">
      <c r="A74" s="73" t="s">
        <v>55</v>
      </c>
      <c r="B74" s="76" t="s">
        <v>33</v>
      </c>
      <c r="C74" s="77">
        <v>-1500</v>
      </c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9">
        <v>-1500</v>
      </c>
    </row>
    <row r="75" spans="1:16">
      <c r="A75" s="73" t="s">
        <v>186</v>
      </c>
      <c r="B75" s="71"/>
      <c r="C75" s="77">
        <v>-1500</v>
      </c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9">
        <v>-1500</v>
      </c>
    </row>
    <row r="76" spans="1:16">
      <c r="A76" s="73" t="s">
        <v>61</v>
      </c>
      <c r="B76" s="76" t="s">
        <v>28</v>
      </c>
      <c r="C76" s="77"/>
      <c r="D76" s="78">
        <v>-443.56</v>
      </c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9">
        <v>-443.56</v>
      </c>
    </row>
    <row r="77" spans="1:16">
      <c r="A77" s="73" t="s">
        <v>187</v>
      </c>
      <c r="B77" s="71"/>
      <c r="C77" s="77"/>
      <c r="D77" s="78">
        <v>-443.56</v>
      </c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9">
        <v>-443.56</v>
      </c>
    </row>
    <row r="78" spans="1:16">
      <c r="A78" s="73" t="s">
        <v>22</v>
      </c>
      <c r="B78" s="76" t="s">
        <v>24</v>
      </c>
      <c r="C78" s="77">
        <v>-1700</v>
      </c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9">
        <v>-1700</v>
      </c>
    </row>
    <row r="79" spans="1:16">
      <c r="A79" s="73" t="s">
        <v>188</v>
      </c>
      <c r="B79" s="71"/>
      <c r="C79" s="77">
        <v>-1700</v>
      </c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9">
        <v>-1700</v>
      </c>
    </row>
    <row r="80" spans="1:16">
      <c r="A80" s="73" t="s">
        <v>115</v>
      </c>
      <c r="B80" s="76" t="s">
        <v>28</v>
      </c>
      <c r="C80" s="77"/>
      <c r="D80" s="78"/>
      <c r="E80" s="78">
        <v>-2176.19</v>
      </c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9">
        <v>-2176.19</v>
      </c>
    </row>
    <row r="81" spans="1:16">
      <c r="A81" s="73" t="s">
        <v>189</v>
      </c>
      <c r="B81" s="71"/>
      <c r="C81" s="77"/>
      <c r="D81" s="78"/>
      <c r="E81" s="78">
        <v>-2176.19</v>
      </c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9">
        <v>-2176.19</v>
      </c>
    </row>
    <row r="82" spans="1:16">
      <c r="A82" s="73" t="s">
        <v>119</v>
      </c>
      <c r="B82" s="76" t="s">
        <v>24</v>
      </c>
      <c r="C82" s="7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9"/>
    </row>
    <row r="83" spans="1:16">
      <c r="A83" s="73" t="s">
        <v>190</v>
      </c>
      <c r="B83" s="71"/>
      <c r="C83" s="77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9"/>
    </row>
    <row r="84" spans="1:16">
      <c r="A84" s="73" t="s">
        <v>79</v>
      </c>
      <c r="B84" s="76" t="s">
        <v>24</v>
      </c>
      <c r="C84" s="77"/>
      <c r="D84" s="78">
        <v>-980.85</v>
      </c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9">
        <v>-980.85</v>
      </c>
    </row>
    <row r="85" spans="1:16">
      <c r="A85" s="73" t="s">
        <v>191</v>
      </c>
      <c r="B85" s="71"/>
      <c r="C85" s="77"/>
      <c r="D85" s="78">
        <v>-980.85</v>
      </c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9">
        <v>-980.85</v>
      </c>
    </row>
    <row r="86" spans="1:16">
      <c r="A86" s="73" t="s">
        <v>82</v>
      </c>
      <c r="B86" s="76" t="s">
        <v>33</v>
      </c>
      <c r="C86" s="77"/>
      <c r="D86" s="78">
        <v>-3353.99</v>
      </c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9">
        <v>-3353.99</v>
      </c>
    </row>
    <row r="87" spans="1:16">
      <c r="A87" s="73" t="s">
        <v>192</v>
      </c>
      <c r="B87" s="71"/>
      <c r="C87" s="77"/>
      <c r="D87" s="78">
        <v>-3353.99</v>
      </c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9">
        <v>-3353.99</v>
      </c>
    </row>
    <row r="88" spans="1:16">
      <c r="A88" s="73" t="s">
        <v>26</v>
      </c>
      <c r="B88" s="76" t="s">
        <v>28</v>
      </c>
      <c r="C88" s="77">
        <v>-1663.35</v>
      </c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9">
        <v>-1663.35</v>
      </c>
    </row>
    <row r="89" spans="1:16">
      <c r="A89" s="73" t="s">
        <v>193</v>
      </c>
      <c r="B89" s="71"/>
      <c r="C89" s="77">
        <v>-1663.35</v>
      </c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9">
        <v>-1663.35</v>
      </c>
    </row>
    <row r="90" spans="1:16">
      <c r="A90" s="73" t="s">
        <v>86</v>
      </c>
      <c r="B90" s="76" t="s">
        <v>28</v>
      </c>
      <c r="C90" s="77"/>
      <c r="D90" s="78">
        <v>-900</v>
      </c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9">
        <v>-900</v>
      </c>
    </row>
    <row r="91" spans="1:16">
      <c r="A91" s="73" t="s">
        <v>194</v>
      </c>
      <c r="B91" s="71"/>
      <c r="C91" s="77"/>
      <c r="D91" s="78">
        <v>-900</v>
      </c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9">
        <v>-900</v>
      </c>
    </row>
    <row r="92" spans="1:16">
      <c r="A92" s="73" t="s">
        <v>48</v>
      </c>
      <c r="B92" s="76" t="s">
        <v>28</v>
      </c>
      <c r="C92" s="77">
        <v>-600</v>
      </c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9">
        <v>-600</v>
      </c>
    </row>
    <row r="93" spans="1:16">
      <c r="A93" s="73" t="s">
        <v>195</v>
      </c>
      <c r="B93" s="71"/>
      <c r="C93" s="77">
        <v>-600</v>
      </c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9">
        <v>-600</v>
      </c>
    </row>
    <row r="94" spans="1:16">
      <c r="A94" s="73" t="s">
        <v>584</v>
      </c>
      <c r="B94" s="76" t="s">
        <v>584</v>
      </c>
      <c r="C94" s="7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9"/>
    </row>
    <row r="95" spans="1:16">
      <c r="A95" s="73" t="s">
        <v>585</v>
      </c>
      <c r="B95" s="71"/>
      <c r="C95" s="77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9"/>
    </row>
    <row r="96" spans="1:16">
      <c r="A96" s="85" t="s">
        <v>583</v>
      </c>
      <c r="B96" s="86"/>
      <c r="C96" s="87">
        <v>-24242.21</v>
      </c>
      <c r="D96" s="88">
        <v>-24094.400000000001</v>
      </c>
      <c r="E96" s="88">
        <v>-33694.35</v>
      </c>
      <c r="F96" s="88">
        <v>-2299.42</v>
      </c>
      <c r="G96" s="88"/>
      <c r="H96" s="88"/>
      <c r="I96" s="88"/>
      <c r="J96" s="88"/>
      <c r="K96" s="88"/>
      <c r="L96" s="88"/>
      <c r="M96" s="88"/>
      <c r="N96" s="88"/>
      <c r="O96" s="88"/>
      <c r="P96" s="89">
        <v>-84330.380000000019</v>
      </c>
    </row>
    <row r="297" spans="4:4">
      <c r="D297" s="53"/>
    </row>
    <row r="298" spans="4:4">
      <c r="D298" s="53"/>
    </row>
    <row r="299" spans="4:4">
      <c r="D299" s="53"/>
    </row>
    <row r="300" spans="4:4">
      <c r="D300" s="53"/>
    </row>
    <row r="301" spans="4:4">
      <c r="D301" s="53"/>
    </row>
    <row r="302" spans="4:4">
      <c r="D302" s="53"/>
    </row>
    <row r="303" spans="4:4">
      <c r="D303" s="53"/>
    </row>
    <row r="304" spans="4:4">
      <c r="D304" s="53"/>
    </row>
    <row r="305" spans="4:4">
      <c r="D305" s="53"/>
    </row>
    <row r="306" spans="4:4">
      <c r="D306" s="53"/>
    </row>
    <row r="307" spans="4:4">
      <c r="D307" s="53"/>
    </row>
    <row r="308" spans="4:4">
      <c r="D308" s="53"/>
    </row>
    <row r="309" spans="4:4">
      <c r="D309" s="53"/>
    </row>
    <row r="310" spans="4:4">
      <c r="D310" s="53"/>
    </row>
    <row r="311" spans="4:4">
      <c r="D311" s="53"/>
    </row>
    <row r="312" spans="4:4">
      <c r="D312" s="53"/>
    </row>
    <row r="313" spans="4:4">
      <c r="D313" s="53"/>
    </row>
    <row r="314" spans="4:4">
      <c r="D314" s="53"/>
    </row>
    <row r="315" spans="4:4">
      <c r="D315" s="53"/>
    </row>
    <row r="316" spans="4:4">
      <c r="D316" s="53"/>
    </row>
    <row r="317" spans="4:4">
      <c r="D317" s="53"/>
    </row>
    <row r="318" spans="4:4">
      <c r="D318" s="53"/>
    </row>
    <row r="319" spans="4:4">
      <c r="D319" s="53"/>
    </row>
    <row r="320" spans="4:4">
      <c r="D320" s="53"/>
    </row>
    <row r="321" spans="4:4">
      <c r="D321" s="53"/>
    </row>
    <row r="322" spans="4:4">
      <c r="D322" s="53"/>
    </row>
    <row r="323" spans="4:4">
      <c r="D323" s="53"/>
    </row>
    <row r="324" spans="4:4">
      <c r="D324" s="53"/>
    </row>
    <row r="325" spans="4:4">
      <c r="D325" s="53"/>
    </row>
    <row r="326" spans="4:4">
      <c r="D326" s="53"/>
    </row>
    <row r="327" spans="4:4">
      <c r="D327" s="53"/>
    </row>
    <row r="328" spans="4:4">
      <c r="D328" s="53"/>
    </row>
    <row r="329" spans="4:4">
      <c r="D329" s="53"/>
    </row>
    <row r="330" spans="4:4">
      <c r="D330" s="53"/>
    </row>
    <row r="331" spans="4:4">
      <c r="D331" s="53"/>
    </row>
    <row r="332" spans="4:4">
      <c r="D332" s="53"/>
    </row>
    <row r="333" spans="4:4">
      <c r="D333" s="53"/>
    </row>
    <row r="334" spans="4:4">
      <c r="D334" s="53"/>
    </row>
    <row r="335" spans="4:4">
      <c r="D335" s="53"/>
    </row>
    <row r="336" spans="4:4">
      <c r="D336" s="53"/>
    </row>
    <row r="337" spans="4:4">
      <c r="D337" s="53"/>
    </row>
    <row r="338" spans="4:4">
      <c r="D338" s="53"/>
    </row>
    <row r="339" spans="4:4">
      <c r="D339" s="53"/>
    </row>
    <row r="340" spans="4:4">
      <c r="D340" s="53"/>
    </row>
    <row r="341" spans="4:4">
      <c r="D341" s="53"/>
    </row>
    <row r="342" spans="4:4">
      <c r="D342" s="53"/>
    </row>
    <row r="343" spans="4:4">
      <c r="D343" s="53"/>
    </row>
    <row r="344" spans="4:4">
      <c r="D344" s="53"/>
    </row>
    <row r="345" spans="4:4">
      <c r="D345" s="53"/>
    </row>
    <row r="346" spans="4:4">
      <c r="D346" s="53"/>
    </row>
    <row r="347" spans="4:4">
      <c r="D347" s="53"/>
    </row>
    <row r="348" spans="4:4">
      <c r="D348" s="53"/>
    </row>
    <row r="349" spans="4:4">
      <c r="D349" s="53"/>
    </row>
    <row r="350" spans="4:4">
      <c r="D350" s="53"/>
    </row>
    <row r="351" spans="4:4">
      <c r="D351" s="53"/>
    </row>
    <row r="352" spans="4:4">
      <c r="D352" s="53"/>
    </row>
    <row r="353" spans="4:4">
      <c r="D353" s="53"/>
    </row>
    <row r="354" spans="4:4">
      <c r="D354" s="53"/>
    </row>
    <row r="355" spans="4:4">
      <c r="D355" s="53"/>
    </row>
    <row r="356" spans="4:4">
      <c r="D356" s="53"/>
    </row>
    <row r="357" spans="4:4">
      <c r="D357" s="53"/>
    </row>
    <row r="358" spans="4:4">
      <c r="D358" s="53"/>
    </row>
    <row r="359" spans="4:4">
      <c r="D359" s="53"/>
    </row>
    <row r="360" spans="4:4">
      <c r="D360" s="53"/>
    </row>
    <row r="361" spans="4:4">
      <c r="D361" s="53"/>
    </row>
    <row r="362" spans="4:4">
      <c r="D362" s="53"/>
    </row>
    <row r="363" spans="4:4">
      <c r="D363" s="53"/>
    </row>
    <row r="364" spans="4:4">
      <c r="D364" s="53"/>
    </row>
    <row r="365" spans="4:4">
      <c r="D365" s="53"/>
    </row>
    <row r="366" spans="4:4">
      <c r="D366" s="53"/>
    </row>
    <row r="367" spans="4:4">
      <c r="D367" s="53"/>
    </row>
    <row r="368" spans="4:4">
      <c r="D368" s="53"/>
    </row>
    <row r="369" spans="4:4">
      <c r="D369" s="53"/>
    </row>
    <row r="370" spans="4:4">
      <c r="D370" s="53"/>
    </row>
    <row r="371" spans="4:4">
      <c r="D371" s="53"/>
    </row>
    <row r="372" spans="4:4">
      <c r="D372" s="53"/>
    </row>
    <row r="373" spans="4:4">
      <c r="D373" s="53"/>
    </row>
    <row r="374" spans="4:4">
      <c r="D374" s="53"/>
    </row>
    <row r="375" spans="4:4">
      <c r="D375" s="53"/>
    </row>
    <row r="376" spans="4:4">
      <c r="D376" s="53"/>
    </row>
    <row r="377" spans="4:4">
      <c r="D377" s="53"/>
    </row>
    <row r="378" spans="4:4">
      <c r="D378" s="53"/>
    </row>
    <row r="379" spans="4:4">
      <c r="D379" s="53"/>
    </row>
    <row r="380" spans="4:4">
      <c r="D380" s="53"/>
    </row>
    <row r="381" spans="4:4">
      <c r="D381" s="53"/>
    </row>
    <row r="382" spans="4:4">
      <c r="D382" s="53"/>
    </row>
    <row r="383" spans="4:4">
      <c r="D383" s="53"/>
    </row>
    <row r="384" spans="4:4">
      <c r="D384" s="53"/>
    </row>
    <row r="385" spans="4:4">
      <c r="D385" s="53"/>
    </row>
    <row r="386" spans="4:4">
      <c r="D386" s="53"/>
    </row>
    <row r="387" spans="4:4">
      <c r="D387" s="53"/>
    </row>
    <row r="388" spans="4:4">
      <c r="D388" s="53"/>
    </row>
    <row r="389" spans="4:4">
      <c r="D389" s="53"/>
    </row>
    <row r="390" spans="4:4">
      <c r="D390" s="53"/>
    </row>
    <row r="391" spans="4:4">
      <c r="D391" s="53"/>
    </row>
    <row r="392" spans="4:4">
      <c r="D392" s="53"/>
    </row>
    <row r="393" spans="4:4">
      <c r="D393" s="53"/>
    </row>
    <row r="394" spans="4:4">
      <c r="D394" s="53"/>
    </row>
    <row r="395" spans="4:4">
      <c r="D395" s="53"/>
    </row>
    <row r="396" spans="4:4">
      <c r="D396" s="53"/>
    </row>
    <row r="397" spans="4:4">
      <c r="D397" s="53"/>
    </row>
    <row r="398" spans="4:4">
      <c r="D398" s="53"/>
    </row>
    <row r="399" spans="4:4">
      <c r="D399" s="53"/>
    </row>
    <row r="400" spans="4:4">
      <c r="D400" s="53"/>
    </row>
    <row r="401" spans="4:4">
      <c r="D401" s="53"/>
    </row>
    <row r="402" spans="4:4">
      <c r="D402" s="53"/>
    </row>
    <row r="403" spans="4:4">
      <c r="D403" s="53"/>
    </row>
    <row r="404" spans="4:4">
      <c r="D404" s="53"/>
    </row>
    <row r="405" spans="4:4">
      <c r="D405" s="53"/>
    </row>
    <row r="406" spans="4:4">
      <c r="D406" s="53"/>
    </row>
    <row r="407" spans="4:4">
      <c r="D407" s="53"/>
    </row>
    <row r="408" spans="4:4">
      <c r="D408" s="53"/>
    </row>
    <row r="409" spans="4:4">
      <c r="D409" s="53"/>
    </row>
    <row r="410" spans="4:4">
      <c r="D410" s="53"/>
    </row>
    <row r="411" spans="4:4">
      <c r="D411" s="53"/>
    </row>
    <row r="412" spans="4:4">
      <c r="D412" s="53"/>
    </row>
    <row r="413" spans="4:4">
      <c r="D413" s="53"/>
    </row>
    <row r="414" spans="4:4">
      <c r="D414" s="53"/>
    </row>
    <row r="415" spans="4:4">
      <c r="D415" s="53"/>
    </row>
    <row r="416" spans="4:4">
      <c r="D416" s="53"/>
    </row>
    <row r="417" spans="4:4">
      <c r="D417" s="53"/>
    </row>
    <row r="418" spans="4:4">
      <c r="D418" s="53"/>
    </row>
    <row r="419" spans="4:4">
      <c r="D419" s="53"/>
    </row>
    <row r="420" spans="4:4">
      <c r="D420" s="53"/>
    </row>
    <row r="421" spans="4:4">
      <c r="D421" s="53"/>
    </row>
    <row r="422" spans="4:4">
      <c r="D422" s="53"/>
    </row>
    <row r="423" spans="4:4">
      <c r="D423" s="53"/>
    </row>
    <row r="424" spans="4:4">
      <c r="D424" s="53"/>
    </row>
    <row r="425" spans="4:4">
      <c r="D425" s="53"/>
    </row>
    <row r="426" spans="4:4">
      <c r="D426" s="53"/>
    </row>
    <row r="427" spans="4:4">
      <c r="D427" s="53"/>
    </row>
    <row r="428" spans="4:4">
      <c r="D428" s="53"/>
    </row>
    <row r="429" spans="4:4">
      <c r="D429" s="53"/>
    </row>
    <row r="430" spans="4:4">
      <c r="D430" s="53"/>
    </row>
    <row r="431" spans="4:4">
      <c r="D431" s="53"/>
    </row>
    <row r="432" spans="4:4">
      <c r="D432" s="53"/>
    </row>
    <row r="433" spans="4:4">
      <c r="D433" s="53"/>
    </row>
    <row r="434" spans="4:4">
      <c r="D434" s="53"/>
    </row>
    <row r="435" spans="4:4">
      <c r="D435" s="53"/>
    </row>
    <row r="436" spans="4:4">
      <c r="D436" s="53"/>
    </row>
    <row r="437" spans="4:4">
      <c r="D437" s="53"/>
    </row>
    <row r="438" spans="4:4">
      <c r="D438" s="53"/>
    </row>
    <row r="439" spans="4:4">
      <c r="D439" s="53"/>
    </row>
    <row r="440" spans="4:4">
      <c r="D440" s="53"/>
    </row>
    <row r="441" spans="4:4">
      <c r="D441" s="53"/>
    </row>
    <row r="442" spans="4:4">
      <c r="D442" s="53"/>
    </row>
    <row r="443" spans="4:4">
      <c r="D443" s="53"/>
    </row>
    <row r="444" spans="4:4">
      <c r="D444" s="53"/>
    </row>
    <row r="445" spans="4:4">
      <c r="D445" s="53"/>
    </row>
    <row r="446" spans="4:4">
      <c r="D446" s="53"/>
    </row>
    <row r="447" spans="4:4">
      <c r="D447" s="53"/>
    </row>
    <row r="448" spans="4:4">
      <c r="D448" s="53"/>
    </row>
    <row r="449" spans="4:4">
      <c r="D449" s="53"/>
    </row>
    <row r="450" spans="4:4">
      <c r="D450" s="53"/>
    </row>
    <row r="451" spans="4:4">
      <c r="D451" s="53"/>
    </row>
    <row r="452" spans="4:4">
      <c r="D452" s="53"/>
    </row>
    <row r="453" spans="4:4">
      <c r="D453" s="53"/>
    </row>
    <row r="454" spans="4:4">
      <c r="D454" s="53"/>
    </row>
    <row r="455" spans="4:4">
      <c r="D455" s="53"/>
    </row>
    <row r="456" spans="4:4">
      <c r="D456" s="53"/>
    </row>
    <row r="457" spans="4:4">
      <c r="D457" s="53"/>
    </row>
    <row r="458" spans="4:4">
      <c r="D458" s="53"/>
    </row>
    <row r="459" spans="4:4">
      <c r="D459" s="53"/>
    </row>
    <row r="460" spans="4:4">
      <c r="D460" s="53"/>
    </row>
    <row r="461" spans="4:4">
      <c r="D461" s="53"/>
    </row>
    <row r="462" spans="4:4">
      <c r="D462" s="53"/>
    </row>
    <row r="463" spans="4:4">
      <c r="D463" s="53"/>
    </row>
    <row r="464" spans="4:4">
      <c r="D464" s="53"/>
    </row>
    <row r="465" spans="4:4">
      <c r="D465" s="53"/>
    </row>
    <row r="466" spans="4:4">
      <c r="D466" s="53"/>
    </row>
    <row r="467" spans="4:4">
      <c r="D467" s="53"/>
    </row>
    <row r="468" spans="4:4">
      <c r="D468" s="53"/>
    </row>
    <row r="469" spans="4:4">
      <c r="D469" s="53"/>
    </row>
    <row r="470" spans="4:4">
      <c r="D470" s="53"/>
    </row>
    <row r="471" spans="4:4">
      <c r="D471" s="53"/>
    </row>
    <row r="472" spans="4:4">
      <c r="D472" s="53"/>
    </row>
    <row r="473" spans="4:4">
      <c r="D473" s="53"/>
    </row>
    <row r="474" spans="4:4">
      <c r="D474" s="53"/>
    </row>
    <row r="475" spans="4:4">
      <c r="D475" s="53"/>
    </row>
    <row r="476" spans="4:4">
      <c r="D476" s="53"/>
    </row>
    <row r="477" spans="4:4">
      <c r="D477" s="53"/>
    </row>
    <row r="478" spans="4:4">
      <c r="D478" s="53"/>
    </row>
    <row r="479" spans="4:4">
      <c r="D479" s="53"/>
    </row>
    <row r="480" spans="4:4">
      <c r="D480" s="53"/>
    </row>
    <row r="481" spans="4:4">
      <c r="D481" s="53"/>
    </row>
    <row r="482" spans="4:4">
      <c r="D482" s="53"/>
    </row>
    <row r="483" spans="4:4">
      <c r="D483" s="53"/>
    </row>
    <row r="484" spans="4:4">
      <c r="D484" s="53"/>
    </row>
    <row r="485" spans="4:4">
      <c r="D485" s="53"/>
    </row>
    <row r="486" spans="4:4">
      <c r="D486" s="53"/>
    </row>
    <row r="487" spans="4:4">
      <c r="D487" s="53"/>
    </row>
    <row r="488" spans="4:4">
      <c r="D488" s="53"/>
    </row>
    <row r="489" spans="4:4">
      <c r="D489" s="53"/>
    </row>
    <row r="490" spans="4:4">
      <c r="D490" s="53"/>
    </row>
    <row r="491" spans="4:4">
      <c r="D491" s="53"/>
    </row>
    <row r="492" spans="4:4">
      <c r="D492" s="53"/>
    </row>
    <row r="493" spans="4:4">
      <c r="D493" s="53"/>
    </row>
    <row r="494" spans="4:4">
      <c r="D494" s="53"/>
    </row>
    <row r="495" spans="4:4">
      <c r="D495" s="53"/>
    </row>
    <row r="496" spans="4:4">
      <c r="D496" s="53"/>
    </row>
    <row r="497" spans="4:4">
      <c r="D497" s="53"/>
    </row>
    <row r="498" spans="4:4">
      <c r="D498" s="53"/>
    </row>
    <row r="499" spans="4:4">
      <c r="D499" s="53"/>
    </row>
    <row r="500" spans="4:4">
      <c r="D500" s="53"/>
    </row>
    <row r="501" spans="4:4">
      <c r="D501" s="53"/>
    </row>
    <row r="502" spans="4:4">
      <c r="D502" s="53"/>
    </row>
    <row r="503" spans="4:4">
      <c r="D503" s="53"/>
    </row>
    <row r="504" spans="4:4">
      <c r="D504" s="53"/>
    </row>
    <row r="505" spans="4:4">
      <c r="D505" s="53"/>
    </row>
    <row r="506" spans="4:4">
      <c r="D506" s="53"/>
    </row>
    <row r="507" spans="4:4">
      <c r="D507" s="53"/>
    </row>
    <row r="508" spans="4:4">
      <c r="D508" s="53"/>
    </row>
    <row r="509" spans="4:4">
      <c r="D509" s="53"/>
    </row>
    <row r="510" spans="4:4">
      <c r="D510" s="53"/>
    </row>
    <row r="511" spans="4:4">
      <c r="D511" s="53"/>
    </row>
    <row r="512" spans="4:4">
      <c r="D512" s="53"/>
    </row>
    <row r="513" spans="4:4">
      <c r="D513" s="53"/>
    </row>
    <row r="514" spans="4:4">
      <c r="D514" s="53"/>
    </row>
    <row r="515" spans="4:4">
      <c r="D515" s="53"/>
    </row>
    <row r="516" spans="4:4">
      <c r="D516" s="53"/>
    </row>
    <row r="517" spans="4:4">
      <c r="D517" s="53"/>
    </row>
    <row r="518" spans="4:4">
      <c r="D518" s="53"/>
    </row>
    <row r="519" spans="4:4">
      <c r="D519" s="53"/>
    </row>
    <row r="520" spans="4:4">
      <c r="D520" s="53"/>
    </row>
    <row r="521" spans="4:4">
      <c r="D521" s="53"/>
    </row>
    <row r="522" spans="4:4">
      <c r="D522" s="53"/>
    </row>
    <row r="523" spans="4:4">
      <c r="D523" s="53"/>
    </row>
    <row r="524" spans="4:4">
      <c r="D524" s="53"/>
    </row>
    <row r="525" spans="4:4">
      <c r="D525" s="53"/>
    </row>
    <row r="526" spans="4:4">
      <c r="D526" s="53"/>
    </row>
    <row r="527" spans="4:4">
      <c r="D527" s="53"/>
    </row>
    <row r="528" spans="4:4">
      <c r="D528" s="53"/>
    </row>
    <row r="529" spans="4:4">
      <c r="D529" s="53"/>
    </row>
    <row r="530" spans="4:4">
      <c r="D530" s="53"/>
    </row>
    <row r="531" spans="4:4">
      <c r="D531" s="53"/>
    </row>
    <row r="532" spans="4:4">
      <c r="D532" s="53"/>
    </row>
    <row r="533" spans="4:4">
      <c r="D533" s="53"/>
    </row>
    <row r="534" spans="4:4">
      <c r="D534" s="53"/>
    </row>
    <row r="535" spans="4:4">
      <c r="D535" s="53"/>
    </row>
    <row r="536" spans="4:4">
      <c r="D536" s="53"/>
    </row>
    <row r="537" spans="4:4">
      <c r="D537" s="53"/>
    </row>
    <row r="538" spans="4:4">
      <c r="D538" s="53"/>
    </row>
    <row r="539" spans="4:4">
      <c r="D539" s="53"/>
    </row>
    <row r="540" spans="4:4">
      <c r="D540" s="53"/>
    </row>
    <row r="541" spans="4:4">
      <c r="D541" s="53"/>
    </row>
    <row r="542" spans="4:4">
      <c r="D542" s="53"/>
    </row>
    <row r="543" spans="4:4">
      <c r="D543" s="53"/>
    </row>
    <row r="544" spans="4:4">
      <c r="D544" s="53"/>
    </row>
    <row r="545" spans="4:4">
      <c r="D545" s="53"/>
    </row>
    <row r="546" spans="4:4">
      <c r="D546" s="53"/>
    </row>
    <row r="547" spans="4:4">
      <c r="D547" s="53"/>
    </row>
    <row r="548" spans="4:4">
      <c r="D548" s="53"/>
    </row>
    <row r="549" spans="4:4">
      <c r="D549" s="53"/>
    </row>
    <row r="550" spans="4:4">
      <c r="D550" s="53"/>
    </row>
    <row r="551" spans="4:4">
      <c r="D551" s="53"/>
    </row>
    <row r="552" spans="4:4">
      <c r="D552" s="53"/>
    </row>
    <row r="553" spans="4:4">
      <c r="D553" s="53"/>
    </row>
    <row r="554" spans="4:4">
      <c r="D554" s="53"/>
    </row>
    <row r="555" spans="4:4">
      <c r="D555" s="53"/>
    </row>
    <row r="556" spans="4:4">
      <c r="D556" s="53"/>
    </row>
    <row r="557" spans="4:4">
      <c r="D557" s="53"/>
    </row>
    <row r="558" spans="4:4">
      <c r="D558" s="53"/>
    </row>
    <row r="559" spans="4:4">
      <c r="D559" s="53"/>
    </row>
    <row r="560" spans="4:4">
      <c r="D560" s="53"/>
    </row>
    <row r="561" spans="4:4">
      <c r="D561" s="53"/>
    </row>
    <row r="562" spans="4:4">
      <c r="D562" s="53"/>
    </row>
    <row r="563" spans="4:4">
      <c r="D563" s="53"/>
    </row>
    <row r="564" spans="4:4">
      <c r="D564" s="53"/>
    </row>
    <row r="565" spans="4:4">
      <c r="D565" s="53"/>
    </row>
    <row r="566" spans="4:4">
      <c r="D566" s="53"/>
    </row>
    <row r="567" spans="4:4">
      <c r="D567" s="53"/>
    </row>
    <row r="568" spans="4:4">
      <c r="D568" s="53"/>
    </row>
    <row r="569" spans="4:4">
      <c r="D569" s="53"/>
    </row>
    <row r="570" spans="4:4">
      <c r="D570" s="53"/>
    </row>
    <row r="571" spans="4:4">
      <c r="D571" s="53"/>
    </row>
    <row r="572" spans="4:4">
      <c r="D572" s="53"/>
    </row>
    <row r="573" spans="4:4">
      <c r="D573" s="53"/>
    </row>
    <row r="574" spans="4:4">
      <c r="D574" s="53"/>
    </row>
    <row r="575" spans="4:4">
      <c r="D575" s="53"/>
    </row>
    <row r="576" spans="4:4">
      <c r="D576" s="53"/>
    </row>
    <row r="577" spans="4:4">
      <c r="D577" s="53"/>
    </row>
    <row r="578" spans="4:4">
      <c r="D578" s="53"/>
    </row>
    <row r="579" spans="4:4">
      <c r="D579" s="53"/>
    </row>
    <row r="580" spans="4:4">
      <c r="D580" s="53"/>
    </row>
    <row r="581" spans="4:4">
      <c r="D581" s="53"/>
    </row>
    <row r="582" spans="4:4">
      <c r="D582" s="53"/>
    </row>
    <row r="583" spans="4:4">
      <c r="D583" s="53"/>
    </row>
    <row r="584" spans="4:4">
      <c r="D584" s="53"/>
    </row>
    <row r="585" spans="4:4">
      <c r="D585" s="53"/>
    </row>
    <row r="586" spans="4:4">
      <c r="D586" s="53"/>
    </row>
    <row r="587" spans="4:4">
      <c r="D587" s="53"/>
    </row>
    <row r="588" spans="4:4">
      <c r="D588" s="53"/>
    </row>
    <row r="589" spans="4:4">
      <c r="D589" s="53"/>
    </row>
    <row r="590" spans="4:4">
      <c r="D590" s="53"/>
    </row>
    <row r="591" spans="4:4">
      <c r="D591" s="53"/>
    </row>
    <row r="592" spans="4:4">
      <c r="D592" s="53"/>
    </row>
    <row r="593" spans="4:4">
      <c r="D593" s="53"/>
    </row>
    <row r="594" spans="4:4">
      <c r="D594" s="53"/>
    </row>
    <row r="595" spans="4:4">
      <c r="D595" s="53"/>
    </row>
    <row r="596" spans="4:4">
      <c r="D596" s="53"/>
    </row>
    <row r="597" spans="4:4">
      <c r="D597" s="53"/>
    </row>
    <row r="598" spans="4:4">
      <c r="D598" s="53"/>
    </row>
    <row r="599" spans="4:4">
      <c r="D599" s="53"/>
    </row>
    <row r="600" spans="4:4">
      <c r="D600" s="53"/>
    </row>
    <row r="601" spans="4:4">
      <c r="D601" s="53"/>
    </row>
    <row r="602" spans="4:4">
      <c r="D602" s="53"/>
    </row>
    <row r="603" spans="4:4">
      <c r="D603" s="53"/>
    </row>
    <row r="604" spans="4:4">
      <c r="D604" s="53"/>
    </row>
    <row r="605" spans="4:4">
      <c r="D605" s="53"/>
    </row>
    <row r="606" spans="4:4">
      <c r="D606" s="53"/>
    </row>
    <row r="607" spans="4:4">
      <c r="D607" s="53"/>
    </row>
    <row r="608" spans="4:4">
      <c r="D608" s="53"/>
    </row>
    <row r="609" spans="4:4">
      <c r="D609" s="53"/>
    </row>
    <row r="610" spans="4:4">
      <c r="D610" s="53"/>
    </row>
    <row r="611" spans="4:4">
      <c r="D611" s="53"/>
    </row>
    <row r="612" spans="4:4">
      <c r="D612" s="53"/>
    </row>
    <row r="613" spans="4:4">
      <c r="D613" s="53"/>
    </row>
    <row r="614" spans="4:4">
      <c r="D614" s="53"/>
    </row>
    <row r="615" spans="4:4">
      <c r="D615" s="53"/>
    </row>
    <row r="616" spans="4:4">
      <c r="D616" s="53"/>
    </row>
    <row r="617" spans="4:4">
      <c r="D617" s="53"/>
    </row>
    <row r="618" spans="4:4">
      <c r="D618" s="53"/>
    </row>
    <row r="619" spans="4:4">
      <c r="D619" s="53"/>
    </row>
    <row r="620" spans="4:4">
      <c r="D620" s="53"/>
    </row>
    <row r="621" spans="4:4">
      <c r="D621" s="53"/>
    </row>
    <row r="622" spans="4:4">
      <c r="D622" s="53"/>
    </row>
    <row r="623" spans="4:4">
      <c r="D623" s="53"/>
    </row>
    <row r="624" spans="4:4">
      <c r="D624" s="53"/>
    </row>
    <row r="625" spans="4:4">
      <c r="D625" s="53"/>
    </row>
    <row r="626" spans="4:4">
      <c r="D626" s="53"/>
    </row>
    <row r="627" spans="4:4">
      <c r="D627" s="53"/>
    </row>
    <row r="628" spans="4:4">
      <c r="D628" s="53"/>
    </row>
    <row r="629" spans="4:4">
      <c r="D629" s="53"/>
    </row>
    <row r="630" spans="4:4">
      <c r="D630" s="53"/>
    </row>
    <row r="631" spans="4:4">
      <c r="D631" s="53"/>
    </row>
    <row r="632" spans="4:4">
      <c r="D632" s="53"/>
    </row>
    <row r="633" spans="4:4">
      <c r="D633" s="53"/>
    </row>
    <row r="634" spans="4:4">
      <c r="D634" s="53"/>
    </row>
    <row r="635" spans="4:4">
      <c r="D635" s="53"/>
    </row>
    <row r="636" spans="4:4">
      <c r="D636" s="53"/>
    </row>
    <row r="637" spans="4:4">
      <c r="D637" s="53"/>
    </row>
    <row r="638" spans="4:4">
      <c r="D638" s="53"/>
    </row>
    <row r="639" spans="4:4">
      <c r="D639" s="53"/>
    </row>
    <row r="640" spans="4:4">
      <c r="D640" s="53"/>
    </row>
    <row r="641" spans="4:4">
      <c r="D641" s="53"/>
    </row>
    <row r="642" spans="4:4">
      <c r="D642" s="53"/>
    </row>
    <row r="643" spans="4:4">
      <c r="D643" s="53"/>
    </row>
    <row r="644" spans="4:4">
      <c r="D644" s="53"/>
    </row>
    <row r="645" spans="4:4">
      <c r="D645" s="53"/>
    </row>
    <row r="646" spans="4:4">
      <c r="D646" s="53"/>
    </row>
    <row r="647" spans="4:4">
      <c r="D647" s="53"/>
    </row>
    <row r="648" spans="4:4">
      <c r="D648" s="53"/>
    </row>
    <row r="649" spans="4:4">
      <c r="D649" s="53"/>
    </row>
    <row r="650" spans="4:4">
      <c r="D650" s="53"/>
    </row>
    <row r="651" spans="4:4">
      <c r="D651" s="53"/>
    </row>
    <row r="652" spans="4:4">
      <c r="D652" s="53"/>
    </row>
    <row r="653" spans="4:4">
      <c r="D653" s="53"/>
    </row>
    <row r="654" spans="4:4">
      <c r="D654" s="53"/>
    </row>
    <row r="655" spans="4:4">
      <c r="D655" s="53"/>
    </row>
    <row r="656" spans="4:4">
      <c r="D656" s="53"/>
    </row>
    <row r="657" spans="4:4">
      <c r="D657" s="53"/>
    </row>
    <row r="658" spans="4:4">
      <c r="D658" s="53"/>
    </row>
    <row r="659" spans="4:4">
      <c r="D659" s="53"/>
    </row>
    <row r="660" spans="4:4">
      <c r="D660" s="53"/>
    </row>
    <row r="661" spans="4:4">
      <c r="D661" s="53"/>
    </row>
    <row r="662" spans="4:4">
      <c r="D662" s="53"/>
    </row>
    <row r="663" spans="4:4">
      <c r="D663" s="53"/>
    </row>
    <row r="664" spans="4:4">
      <c r="D664" s="53"/>
    </row>
    <row r="665" spans="4:4">
      <c r="D665" s="53"/>
    </row>
    <row r="666" spans="4:4">
      <c r="D666" s="53"/>
    </row>
    <row r="667" spans="4:4">
      <c r="D667" s="53"/>
    </row>
    <row r="668" spans="4:4">
      <c r="D668" s="53"/>
    </row>
    <row r="669" spans="4:4">
      <c r="D669" s="53"/>
    </row>
    <row r="670" spans="4:4">
      <c r="D670" s="53"/>
    </row>
    <row r="671" spans="4:4">
      <c r="D671" s="53"/>
    </row>
    <row r="672" spans="4:4">
      <c r="D672" s="53"/>
    </row>
    <row r="673" spans="4:4">
      <c r="D673" s="53"/>
    </row>
    <row r="674" spans="4:4">
      <c r="D674" s="53"/>
    </row>
    <row r="675" spans="4:4">
      <c r="D675" s="53"/>
    </row>
    <row r="676" spans="4:4">
      <c r="D676" s="53"/>
    </row>
    <row r="677" spans="4:4">
      <c r="D677" s="53"/>
    </row>
    <row r="678" spans="4:4">
      <c r="D678" s="53"/>
    </row>
    <row r="679" spans="4:4">
      <c r="D679" s="53"/>
    </row>
    <row r="680" spans="4:4">
      <c r="D680" s="53"/>
    </row>
    <row r="681" spans="4:4">
      <c r="D681" s="53"/>
    </row>
    <row r="682" spans="4:4">
      <c r="D682" s="53"/>
    </row>
    <row r="683" spans="4:4">
      <c r="D683" s="53"/>
    </row>
    <row r="684" spans="4:4">
      <c r="D684" s="53"/>
    </row>
    <row r="685" spans="4:4">
      <c r="D685" s="53"/>
    </row>
    <row r="686" spans="4:4">
      <c r="D686" s="53"/>
    </row>
    <row r="687" spans="4:4">
      <c r="D687" s="53"/>
    </row>
    <row r="688" spans="4:4">
      <c r="D688" s="53"/>
    </row>
    <row r="689" spans="4:4">
      <c r="D689" s="53"/>
    </row>
    <row r="690" spans="4:4">
      <c r="D690" s="53"/>
    </row>
    <row r="691" spans="4:4">
      <c r="D691" s="53"/>
    </row>
    <row r="692" spans="4:4">
      <c r="D692" s="53"/>
    </row>
    <row r="693" spans="4:4">
      <c r="D693" s="53"/>
    </row>
    <row r="694" spans="4:4">
      <c r="D694" s="53"/>
    </row>
    <row r="695" spans="4:4">
      <c r="D695" s="53"/>
    </row>
    <row r="696" spans="4:4">
      <c r="D696" s="53"/>
    </row>
    <row r="697" spans="4:4">
      <c r="D697" s="53"/>
    </row>
    <row r="698" spans="4:4">
      <c r="D698" s="53"/>
    </row>
    <row r="699" spans="4:4">
      <c r="D699" s="53"/>
    </row>
    <row r="700" spans="4:4">
      <c r="D700" s="53"/>
    </row>
    <row r="701" spans="4:4">
      <c r="D701" s="53"/>
    </row>
    <row r="702" spans="4:4">
      <c r="D702" s="53"/>
    </row>
    <row r="703" spans="4:4">
      <c r="D703" s="53"/>
    </row>
    <row r="704" spans="4:4">
      <c r="D704" s="53"/>
    </row>
    <row r="705" spans="4:4">
      <c r="D705" s="53"/>
    </row>
    <row r="706" spans="4:4">
      <c r="D706" s="53"/>
    </row>
    <row r="707" spans="4:4">
      <c r="D707" s="53"/>
    </row>
    <row r="708" spans="4:4">
      <c r="D708" s="53"/>
    </row>
    <row r="709" spans="4:4">
      <c r="D709" s="53"/>
    </row>
    <row r="710" spans="4:4">
      <c r="D710" s="53"/>
    </row>
    <row r="711" spans="4:4">
      <c r="D711" s="53"/>
    </row>
    <row r="712" spans="4:4">
      <c r="D712" s="53"/>
    </row>
    <row r="713" spans="4:4">
      <c r="D713" s="53"/>
    </row>
    <row r="714" spans="4:4">
      <c r="D714" s="53"/>
    </row>
    <row r="715" spans="4:4">
      <c r="D715" s="53"/>
    </row>
    <row r="716" spans="4:4">
      <c r="D716" s="53"/>
    </row>
    <row r="717" spans="4:4">
      <c r="D717" s="53"/>
    </row>
    <row r="718" spans="4:4">
      <c r="D718" s="53"/>
    </row>
    <row r="719" spans="4:4">
      <c r="D719" s="53"/>
    </row>
    <row r="720" spans="4:4">
      <c r="D720" s="53"/>
    </row>
    <row r="721" spans="4:4">
      <c r="D721" s="53"/>
    </row>
    <row r="722" spans="4:4">
      <c r="D722" s="53"/>
    </row>
    <row r="723" spans="4:4">
      <c r="D723" s="53"/>
    </row>
    <row r="724" spans="4:4">
      <c r="D724" s="53"/>
    </row>
    <row r="725" spans="4:4">
      <c r="D725" s="53"/>
    </row>
    <row r="726" spans="4:4">
      <c r="D726" s="53"/>
    </row>
    <row r="727" spans="4:4">
      <c r="D727" s="53"/>
    </row>
    <row r="728" spans="4:4">
      <c r="D728" s="53"/>
    </row>
    <row r="729" spans="4:4">
      <c r="D729" s="53"/>
    </row>
    <row r="730" spans="4:4">
      <c r="D730" s="53"/>
    </row>
    <row r="731" spans="4:4">
      <c r="D731" s="53"/>
    </row>
    <row r="732" spans="4:4">
      <c r="D732" s="53"/>
    </row>
    <row r="733" spans="4:4">
      <c r="D733" s="53"/>
    </row>
    <row r="734" spans="4:4">
      <c r="D734" s="53"/>
    </row>
    <row r="735" spans="4:4">
      <c r="D735" s="53"/>
    </row>
    <row r="736" spans="4:4">
      <c r="D736" s="53"/>
    </row>
    <row r="737" spans="4:4">
      <c r="D737" s="53"/>
    </row>
    <row r="738" spans="4:4">
      <c r="D738" s="53"/>
    </row>
    <row r="739" spans="4:4">
      <c r="D739" s="53"/>
    </row>
    <row r="740" spans="4:4">
      <c r="D740" s="53"/>
    </row>
    <row r="741" spans="4:4">
      <c r="D741" s="53"/>
    </row>
    <row r="742" spans="4:4">
      <c r="D742" s="53"/>
    </row>
    <row r="743" spans="4:4">
      <c r="D743" s="53"/>
    </row>
    <row r="744" spans="4:4">
      <c r="D744" s="53"/>
    </row>
    <row r="745" spans="4:4">
      <c r="D745" s="53"/>
    </row>
    <row r="746" spans="4:4">
      <c r="D746" s="53"/>
    </row>
    <row r="747" spans="4:4">
      <c r="D747" s="53"/>
    </row>
    <row r="748" spans="4:4">
      <c r="D748" s="53"/>
    </row>
    <row r="749" spans="4:4">
      <c r="D749" s="53"/>
    </row>
    <row r="750" spans="4:4">
      <c r="D750" s="53"/>
    </row>
    <row r="751" spans="4:4">
      <c r="D751" s="53"/>
    </row>
    <row r="752" spans="4:4">
      <c r="D752" s="53"/>
    </row>
    <row r="753" spans="4:4">
      <c r="D753" s="53"/>
    </row>
    <row r="754" spans="4:4">
      <c r="D754" s="53"/>
    </row>
    <row r="755" spans="4:4">
      <c r="D755" s="53"/>
    </row>
    <row r="756" spans="4:4">
      <c r="D756" s="53"/>
    </row>
    <row r="757" spans="4:4">
      <c r="D757" s="53"/>
    </row>
    <row r="758" spans="4:4">
      <c r="D758" s="53"/>
    </row>
    <row r="759" spans="4:4">
      <c r="D759" s="53"/>
    </row>
    <row r="760" spans="4:4">
      <c r="D760" s="53"/>
    </row>
    <row r="761" spans="4:4">
      <c r="D761" s="53"/>
    </row>
    <row r="762" spans="4:4">
      <c r="D762" s="53"/>
    </row>
    <row r="763" spans="4:4">
      <c r="D763" s="53"/>
    </row>
    <row r="764" spans="4:4">
      <c r="D764" s="53"/>
    </row>
    <row r="765" spans="4:4">
      <c r="D765" s="53"/>
    </row>
    <row r="766" spans="4:4">
      <c r="D766" s="53"/>
    </row>
    <row r="767" spans="4:4">
      <c r="D767" s="53"/>
    </row>
    <row r="768" spans="4:4">
      <c r="D768" s="53"/>
    </row>
    <row r="769" spans="4:4">
      <c r="D769" s="53"/>
    </row>
    <row r="770" spans="4:4">
      <c r="D770" s="53"/>
    </row>
    <row r="771" spans="4:4">
      <c r="D771" s="53"/>
    </row>
    <row r="772" spans="4:4">
      <c r="D772" s="53"/>
    </row>
    <row r="773" spans="4:4">
      <c r="D773" s="53"/>
    </row>
    <row r="774" spans="4:4">
      <c r="D774" s="53"/>
    </row>
    <row r="775" spans="4:4">
      <c r="D775" s="53"/>
    </row>
    <row r="776" spans="4:4">
      <c r="D776" s="53"/>
    </row>
    <row r="777" spans="4:4">
      <c r="D777" s="53"/>
    </row>
    <row r="778" spans="4:4">
      <c r="D778" s="53"/>
    </row>
    <row r="779" spans="4:4">
      <c r="D779" s="53"/>
    </row>
    <row r="780" spans="4:4">
      <c r="D780" s="53"/>
    </row>
    <row r="781" spans="4:4">
      <c r="D781" s="53"/>
    </row>
    <row r="782" spans="4:4">
      <c r="D782" s="53"/>
    </row>
    <row r="783" spans="4:4">
      <c r="D783" s="53"/>
    </row>
    <row r="784" spans="4:4">
      <c r="D784" s="53"/>
    </row>
    <row r="785" spans="4:4">
      <c r="D785" s="53"/>
    </row>
    <row r="786" spans="4:4">
      <c r="D786" s="53"/>
    </row>
    <row r="787" spans="4:4">
      <c r="D787" s="53"/>
    </row>
    <row r="788" spans="4:4">
      <c r="D788" s="53"/>
    </row>
    <row r="789" spans="4:4">
      <c r="D789" s="53"/>
    </row>
    <row r="790" spans="4:4">
      <c r="D790" s="53"/>
    </row>
    <row r="791" spans="4:4">
      <c r="D791" s="53"/>
    </row>
    <row r="792" spans="4:4">
      <c r="D792" s="53"/>
    </row>
    <row r="793" spans="4:4">
      <c r="D793" s="53"/>
    </row>
    <row r="794" spans="4:4">
      <c r="D794" s="53"/>
    </row>
    <row r="795" spans="4:4">
      <c r="D795" s="53"/>
    </row>
    <row r="796" spans="4:4">
      <c r="D796" s="53"/>
    </row>
    <row r="797" spans="4:4">
      <c r="D797" s="53"/>
    </row>
    <row r="798" spans="4:4">
      <c r="D798" s="53"/>
    </row>
    <row r="799" spans="4:4">
      <c r="D799" s="53"/>
    </row>
    <row r="800" spans="4:4">
      <c r="D800" s="53"/>
    </row>
    <row r="801" spans="4:4">
      <c r="D801" s="53"/>
    </row>
    <row r="802" spans="4:4">
      <c r="D802" s="53"/>
    </row>
    <row r="803" spans="4:4">
      <c r="D803" s="53"/>
    </row>
    <row r="804" spans="4:4">
      <c r="D804" s="53"/>
    </row>
    <row r="805" spans="4:4">
      <c r="D805" s="53"/>
    </row>
    <row r="806" spans="4:4">
      <c r="D806" s="53"/>
    </row>
    <row r="807" spans="4:4">
      <c r="D807" s="53"/>
    </row>
    <row r="808" spans="4:4">
      <c r="D808" s="53"/>
    </row>
    <row r="809" spans="4:4">
      <c r="D809" s="53"/>
    </row>
    <row r="810" spans="4:4">
      <c r="D810" s="53"/>
    </row>
    <row r="811" spans="4:4">
      <c r="D811" s="53"/>
    </row>
    <row r="812" spans="4:4">
      <c r="D812" s="53"/>
    </row>
    <row r="813" spans="4:4">
      <c r="D813" s="53"/>
    </row>
    <row r="814" spans="4:4">
      <c r="D814" s="53"/>
    </row>
    <row r="815" spans="4:4">
      <c r="D815" s="53"/>
    </row>
    <row r="816" spans="4:4">
      <c r="D816" s="53"/>
    </row>
    <row r="817" spans="4:4">
      <c r="D817" s="53"/>
    </row>
    <row r="818" spans="4:4">
      <c r="D818" s="53"/>
    </row>
    <row r="819" spans="4:4">
      <c r="D819" s="53"/>
    </row>
    <row r="820" spans="4:4">
      <c r="D820" s="53"/>
    </row>
    <row r="821" spans="4:4">
      <c r="D821" s="53"/>
    </row>
    <row r="822" spans="4:4">
      <c r="D822" s="53"/>
    </row>
    <row r="823" spans="4:4">
      <c r="D823" s="53"/>
    </row>
    <row r="824" spans="4:4">
      <c r="D824" s="53"/>
    </row>
    <row r="825" spans="4:4">
      <c r="D825" s="53"/>
    </row>
    <row r="826" spans="4:4">
      <c r="D826" s="53"/>
    </row>
    <row r="827" spans="4:4">
      <c r="D827" s="53"/>
    </row>
    <row r="828" spans="4:4">
      <c r="D828" s="53"/>
    </row>
    <row r="829" spans="4:4">
      <c r="D829" s="53"/>
    </row>
    <row r="830" spans="4:4">
      <c r="D830" s="53"/>
    </row>
    <row r="831" spans="4:4">
      <c r="D831" s="53"/>
    </row>
    <row r="832" spans="4:4">
      <c r="D832" s="53"/>
    </row>
    <row r="833" spans="4:4">
      <c r="D833" s="53"/>
    </row>
    <row r="834" spans="4:4">
      <c r="D834" s="53"/>
    </row>
    <row r="835" spans="4:4">
      <c r="D835" s="53"/>
    </row>
    <row r="836" spans="4:4">
      <c r="D836" s="53"/>
    </row>
    <row r="837" spans="4:4">
      <c r="D837" s="53"/>
    </row>
    <row r="838" spans="4:4">
      <c r="D838" s="53"/>
    </row>
    <row r="839" spans="4:4">
      <c r="D839" s="53"/>
    </row>
    <row r="840" spans="4:4">
      <c r="D840" s="53"/>
    </row>
    <row r="841" spans="4:4">
      <c r="D841" s="53"/>
    </row>
    <row r="842" spans="4:4">
      <c r="D842" s="53"/>
    </row>
    <row r="843" spans="4:4">
      <c r="D843" s="53"/>
    </row>
    <row r="844" spans="4:4">
      <c r="D844" s="53"/>
    </row>
    <row r="845" spans="4:4">
      <c r="D845" s="53"/>
    </row>
    <row r="846" spans="4:4">
      <c r="D846" s="53"/>
    </row>
    <row r="847" spans="4:4">
      <c r="D847" s="53"/>
    </row>
    <row r="848" spans="4:4">
      <c r="D848" s="53"/>
    </row>
    <row r="849" spans="4:4">
      <c r="D849" s="53"/>
    </row>
    <row r="850" spans="4:4">
      <c r="D850" s="53"/>
    </row>
    <row r="851" spans="4:4">
      <c r="D851" s="53"/>
    </row>
    <row r="852" spans="4:4">
      <c r="D852" s="53"/>
    </row>
    <row r="853" spans="4:4">
      <c r="D853" s="53"/>
    </row>
    <row r="854" spans="4:4">
      <c r="D854" s="53"/>
    </row>
    <row r="855" spans="4:4">
      <c r="D855" s="53"/>
    </row>
    <row r="856" spans="4:4">
      <c r="D856" s="53"/>
    </row>
    <row r="857" spans="4:4">
      <c r="D857" s="53"/>
    </row>
    <row r="858" spans="4:4">
      <c r="D858" s="53"/>
    </row>
    <row r="859" spans="4:4">
      <c r="D859" s="53"/>
    </row>
    <row r="860" spans="4:4">
      <c r="D860" s="53"/>
    </row>
    <row r="861" spans="4:4">
      <c r="D861" s="53"/>
    </row>
    <row r="862" spans="4:4">
      <c r="D862" s="53"/>
    </row>
    <row r="863" spans="4:4">
      <c r="D863" s="53"/>
    </row>
    <row r="864" spans="4:4">
      <c r="D864" s="53"/>
    </row>
    <row r="865" spans="4:4">
      <c r="D865" s="53"/>
    </row>
    <row r="866" spans="4:4">
      <c r="D866" s="53"/>
    </row>
    <row r="867" spans="4:4">
      <c r="D867" s="53"/>
    </row>
    <row r="868" spans="4:4">
      <c r="D868" s="53"/>
    </row>
    <row r="869" spans="4:4">
      <c r="D869" s="53"/>
    </row>
    <row r="870" spans="4:4">
      <c r="D870" s="53"/>
    </row>
    <row r="871" spans="4:4">
      <c r="D871" s="53"/>
    </row>
    <row r="872" spans="4:4">
      <c r="D872" s="53"/>
    </row>
    <row r="873" spans="4:4">
      <c r="D873" s="53"/>
    </row>
    <row r="874" spans="4:4">
      <c r="D874" s="53"/>
    </row>
    <row r="875" spans="4:4">
      <c r="D875" s="53"/>
    </row>
    <row r="876" spans="4:4">
      <c r="D876" s="53"/>
    </row>
    <row r="877" spans="4:4">
      <c r="D877" s="53"/>
    </row>
    <row r="878" spans="4:4">
      <c r="D878" s="53"/>
    </row>
    <row r="879" spans="4:4">
      <c r="D879" s="53"/>
    </row>
    <row r="880" spans="4:4">
      <c r="D880" s="53"/>
    </row>
    <row r="881" spans="4:4">
      <c r="D881" s="53"/>
    </row>
    <row r="882" spans="4:4">
      <c r="D882" s="53"/>
    </row>
    <row r="883" spans="4:4">
      <c r="D883" s="53"/>
    </row>
    <row r="884" spans="4:4">
      <c r="D884" s="53"/>
    </row>
    <row r="885" spans="4:4">
      <c r="D885" s="53"/>
    </row>
    <row r="886" spans="4:4">
      <c r="D886" s="53"/>
    </row>
    <row r="887" spans="4:4">
      <c r="D887" s="53"/>
    </row>
    <row r="888" spans="4:4">
      <c r="D888" s="53"/>
    </row>
    <row r="889" spans="4:4">
      <c r="D889" s="53"/>
    </row>
    <row r="890" spans="4:4">
      <c r="D890" s="53"/>
    </row>
    <row r="891" spans="4:4">
      <c r="D891" s="53"/>
    </row>
    <row r="892" spans="4:4">
      <c r="D892" s="53"/>
    </row>
    <row r="893" spans="4:4">
      <c r="D893" s="53"/>
    </row>
    <row r="894" spans="4:4">
      <c r="D894" s="53"/>
    </row>
    <row r="895" spans="4:4">
      <c r="D895" s="53"/>
    </row>
    <row r="896" spans="4:4">
      <c r="D896" s="53"/>
    </row>
    <row r="897" spans="4:4">
      <c r="D897" s="53"/>
    </row>
    <row r="898" spans="4:4">
      <c r="D898" s="53"/>
    </row>
    <row r="899" spans="4:4">
      <c r="D899" s="53"/>
    </row>
    <row r="900" spans="4:4">
      <c r="D900" s="53"/>
    </row>
    <row r="901" spans="4:4">
      <c r="D901" s="53"/>
    </row>
    <row r="902" spans="4:4">
      <c r="D902" s="53"/>
    </row>
    <row r="903" spans="4:4">
      <c r="D903" s="53"/>
    </row>
    <row r="904" spans="4:4">
      <c r="D904" s="53"/>
    </row>
    <row r="905" spans="4:4">
      <c r="D905" s="53"/>
    </row>
    <row r="906" spans="4:4">
      <c r="D906" s="53"/>
    </row>
    <row r="907" spans="4:4">
      <c r="D907" s="53"/>
    </row>
    <row r="908" spans="4:4">
      <c r="D908" s="53"/>
    </row>
    <row r="909" spans="4:4">
      <c r="D909" s="53"/>
    </row>
    <row r="910" spans="4:4">
      <c r="D910" s="53"/>
    </row>
    <row r="911" spans="4:4">
      <c r="D911" s="53"/>
    </row>
    <row r="912" spans="4:4">
      <c r="D912" s="53"/>
    </row>
    <row r="913" spans="4:4">
      <c r="D913" s="53"/>
    </row>
    <row r="914" spans="4:4">
      <c r="D914" s="53"/>
    </row>
    <row r="915" spans="4:4">
      <c r="D915" s="53"/>
    </row>
    <row r="916" spans="4:4">
      <c r="D916" s="53"/>
    </row>
    <row r="917" spans="4:4">
      <c r="D917" s="53"/>
    </row>
    <row r="918" spans="4:4">
      <c r="D918" s="53"/>
    </row>
    <row r="919" spans="4:4">
      <c r="D919" s="53"/>
    </row>
    <row r="920" spans="4:4">
      <c r="D920" s="53"/>
    </row>
    <row r="921" spans="4:4">
      <c r="D921" s="53"/>
    </row>
    <row r="922" spans="4:4">
      <c r="D922" s="53"/>
    </row>
    <row r="923" spans="4:4">
      <c r="D923" s="53"/>
    </row>
    <row r="924" spans="4:4">
      <c r="D924" s="53"/>
    </row>
    <row r="925" spans="4:4">
      <c r="D925" s="53"/>
    </row>
    <row r="926" spans="4:4">
      <c r="D926" s="53"/>
    </row>
    <row r="927" spans="4:4">
      <c r="D927" s="53"/>
    </row>
    <row r="928" spans="4:4">
      <c r="D928" s="53"/>
    </row>
    <row r="929" spans="4:4">
      <c r="D929" s="53"/>
    </row>
    <row r="930" spans="4:4">
      <c r="D930" s="53"/>
    </row>
    <row r="931" spans="4:4">
      <c r="D931" s="53"/>
    </row>
    <row r="932" spans="4:4">
      <c r="D932" s="53"/>
    </row>
    <row r="933" spans="4:4">
      <c r="D933" s="53"/>
    </row>
    <row r="934" spans="4:4">
      <c r="D934" s="53"/>
    </row>
    <row r="935" spans="4:4">
      <c r="D935" s="53"/>
    </row>
    <row r="936" spans="4:4">
      <c r="D936" s="53"/>
    </row>
    <row r="937" spans="4:4">
      <c r="D937" s="53"/>
    </row>
    <row r="938" spans="4:4">
      <c r="D938" s="53"/>
    </row>
    <row r="939" spans="4:4">
      <c r="D939" s="53"/>
    </row>
    <row r="940" spans="4:4">
      <c r="D940" s="53"/>
    </row>
    <row r="941" spans="4:4">
      <c r="D941" s="53"/>
    </row>
    <row r="942" spans="4:4">
      <c r="D942" s="53"/>
    </row>
    <row r="943" spans="4:4">
      <c r="D943" s="53"/>
    </row>
    <row r="944" spans="4:4">
      <c r="D944" s="53"/>
    </row>
    <row r="945" spans="4:4">
      <c r="D945" s="53"/>
    </row>
    <row r="946" spans="4:4">
      <c r="D946" s="53"/>
    </row>
    <row r="947" spans="4:4">
      <c r="D947" s="53"/>
    </row>
    <row r="948" spans="4:4">
      <c r="D948" s="53"/>
    </row>
    <row r="949" spans="4:4">
      <c r="D949" s="53"/>
    </row>
    <row r="950" spans="4:4">
      <c r="D950" s="53"/>
    </row>
    <row r="951" spans="4:4">
      <c r="D951" s="53"/>
    </row>
    <row r="952" spans="4:4">
      <c r="D952" s="53"/>
    </row>
    <row r="953" spans="4:4">
      <c r="D953" s="53"/>
    </row>
    <row r="954" spans="4:4">
      <c r="D954" s="53"/>
    </row>
    <row r="955" spans="4:4">
      <c r="D955" s="53"/>
    </row>
    <row r="956" spans="4:4">
      <c r="D956" s="53"/>
    </row>
    <row r="957" spans="4:4">
      <c r="D957" s="53"/>
    </row>
    <row r="958" spans="4:4">
      <c r="D958" s="53"/>
    </row>
    <row r="959" spans="4:4">
      <c r="D959" s="53"/>
    </row>
    <row r="960" spans="4:4">
      <c r="D960" s="53"/>
    </row>
    <row r="961" spans="4:4">
      <c r="D961" s="53"/>
    </row>
    <row r="962" spans="4:4">
      <c r="D962" s="53"/>
    </row>
    <row r="963" spans="4:4">
      <c r="D963" s="53"/>
    </row>
    <row r="964" spans="4:4">
      <c r="D964" s="53"/>
    </row>
    <row r="965" spans="4:4">
      <c r="D965" s="53"/>
    </row>
    <row r="966" spans="4:4">
      <c r="D966" s="53"/>
    </row>
    <row r="967" spans="4:4">
      <c r="D967" s="53"/>
    </row>
    <row r="968" spans="4:4">
      <c r="D968" s="53"/>
    </row>
    <row r="969" spans="4:4">
      <c r="D969" s="53"/>
    </row>
    <row r="970" spans="4:4">
      <c r="D970" s="53"/>
    </row>
    <row r="971" spans="4:4">
      <c r="D971" s="53"/>
    </row>
    <row r="972" spans="4:4">
      <c r="D972" s="53"/>
    </row>
    <row r="973" spans="4:4">
      <c r="D973" s="53"/>
    </row>
    <row r="974" spans="4:4">
      <c r="D974" s="53"/>
    </row>
    <row r="975" spans="4:4">
      <c r="D975" s="53"/>
    </row>
    <row r="976" spans="4:4">
      <c r="D976" s="53"/>
    </row>
    <row r="977" spans="4:4">
      <c r="D977" s="53"/>
    </row>
    <row r="978" spans="4:4">
      <c r="D978" s="53"/>
    </row>
    <row r="979" spans="4:4">
      <c r="D979" s="53"/>
    </row>
    <row r="980" spans="4:4">
      <c r="D980" s="53"/>
    </row>
    <row r="981" spans="4:4">
      <c r="D981" s="53"/>
    </row>
    <row r="982" spans="4:4">
      <c r="D982" s="53"/>
    </row>
    <row r="983" spans="4:4">
      <c r="D983" s="53"/>
    </row>
    <row r="984" spans="4:4">
      <c r="D984" s="53"/>
    </row>
    <row r="985" spans="4:4">
      <c r="D985" s="53"/>
    </row>
    <row r="986" spans="4:4">
      <c r="D986" s="53"/>
    </row>
    <row r="987" spans="4:4">
      <c r="D987" s="53"/>
    </row>
    <row r="988" spans="4:4">
      <c r="D988" s="53"/>
    </row>
    <row r="989" spans="4:4">
      <c r="D989" s="53"/>
    </row>
    <row r="990" spans="4:4">
      <c r="D990" s="53"/>
    </row>
    <row r="991" spans="4:4">
      <c r="D991" s="53"/>
    </row>
    <row r="992" spans="4:4">
      <c r="D992" s="53"/>
    </row>
    <row r="993" spans="4:4">
      <c r="D993" s="53"/>
    </row>
    <row r="994" spans="4:4">
      <c r="D994" s="53"/>
    </row>
    <row r="995" spans="4:4">
      <c r="D995" s="53"/>
    </row>
    <row r="996" spans="4:4">
      <c r="D996" s="53"/>
    </row>
    <row r="997" spans="4:4">
      <c r="D997" s="53"/>
    </row>
    <row r="998" spans="4:4">
      <c r="D998" s="53"/>
    </row>
    <row r="999" spans="4:4">
      <c r="D999" s="53"/>
    </row>
    <row r="1000" spans="4:4">
      <c r="D1000" s="5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9"/>
  <sheetViews>
    <sheetView workbookViewId="0"/>
  </sheetViews>
  <sheetFormatPr baseColWidth="10" defaultColWidth="14.5" defaultRowHeight="15" customHeight="1"/>
  <cols>
    <col min="2" max="2" width="25" customWidth="1"/>
    <col min="3" max="3" width="31.83203125" customWidth="1"/>
    <col min="5" max="5" width="20.5" customWidth="1"/>
    <col min="6" max="6" width="10.5" customWidth="1"/>
    <col min="7" max="7" width="23.83203125" customWidth="1"/>
    <col min="11" max="11" width="21.83203125" hidden="1" customWidth="1"/>
    <col min="12" max="13" width="14.5" hidden="1"/>
    <col min="15" max="15" width="30.6640625" customWidth="1"/>
  </cols>
  <sheetData>
    <row r="1" spans="1:26">
      <c r="A1" s="54" t="s">
        <v>196</v>
      </c>
      <c r="B1" s="54" t="s">
        <v>139</v>
      </c>
      <c r="C1" s="24" t="s">
        <v>197</v>
      </c>
      <c r="D1" s="24"/>
      <c r="E1" s="55" t="str">
        <f ca="1">IFERROR(__xludf.DUMMYFUNCTION("QUERY(IMPORTRANGE(""1vYjGeYY0Fv1uPTb97Gbjvlxd4khfYQOQJB5UlsSt3ZY/edit?gid=0#gid=0"",""CODORL!A2:F""),""select Col5, Col3, Col1 where Col3 is not null"",2)"),"NOMBRE ORL ")</f>
        <v xml:space="preserve">NOMBRE ORL </v>
      </c>
      <c r="F1" s="24" t="str">
        <f ca="1">IFERROR(__xludf.DUMMYFUNCTION("""COMPUTED_VALUE"""),"CODORL ")</f>
        <v xml:space="preserve">CODORL </v>
      </c>
      <c r="G1" s="24" t="str">
        <f ca="1">IFERROR(__xludf.DUMMYFUNCTION("""COMPUTED_VALUE"""),"VISITADOR ")</f>
        <v xml:space="preserve">VISITADOR </v>
      </c>
      <c r="H1" s="24"/>
      <c r="I1" s="24"/>
      <c r="J1" s="24"/>
      <c r="K1" s="56" t="s">
        <v>5</v>
      </c>
      <c r="L1" s="56" t="s">
        <v>198</v>
      </c>
      <c r="M1" s="56" t="s">
        <v>199</v>
      </c>
      <c r="N1" s="24"/>
      <c r="O1" s="22" t="s">
        <v>24</v>
      </c>
      <c r="P1" s="24"/>
      <c r="Q1" s="24"/>
      <c r="R1" s="24" t="s">
        <v>200</v>
      </c>
      <c r="S1" s="24"/>
      <c r="T1" s="24"/>
      <c r="U1" s="24"/>
      <c r="V1" s="24"/>
      <c r="W1" s="24"/>
      <c r="X1" s="24"/>
      <c r="Y1" s="24"/>
      <c r="Z1" s="24"/>
    </row>
    <row r="2" spans="1:26">
      <c r="A2" s="57" t="s">
        <v>201</v>
      </c>
      <c r="B2" s="58" t="s">
        <v>201</v>
      </c>
      <c r="C2" s="7" t="s">
        <v>202</v>
      </c>
      <c r="E2" s="7" t="str">
        <f ca="1">IFERROR(__xludf.DUMMYFUNCTION("""COMPUTED_VALUE"""),"Julio César Ariza Lizcano")</f>
        <v>Julio César Ariza Lizcano</v>
      </c>
      <c r="F2" s="7" t="str">
        <f ca="1">IFERROR(__xludf.DUMMYFUNCTION("""COMPUTED_VALUE"""),"LAA91")</f>
        <v>LAA91</v>
      </c>
      <c r="G2" s="7" t="str">
        <f ca="1">IFERROR(__xludf.DUMMYFUNCTION("""COMPUTED_VALUE"""),"Luis Alberto Rodríguez")</f>
        <v>Luis Alberto Rodríguez</v>
      </c>
      <c r="K2" s="25" t="s">
        <v>203</v>
      </c>
      <c r="L2" s="59" t="s">
        <v>204</v>
      </c>
      <c r="M2" s="59" t="s">
        <v>205</v>
      </c>
      <c r="O2" s="60" t="s">
        <v>102</v>
      </c>
      <c r="R2" s="55" t="str">
        <f ca="1">IFERROR(__xludf.DUMMYFUNCTION("QUERY(IMPORTRANGE(""1epD6BbEEqvSFzxfUWydVvHuch-VRXVJ5kS2QdVOG-_A/edit?gid=1595812126#gid=1595812126"",""DatosSignature!G:G""),""SELECT *"",1)"),"signature name")</f>
        <v>signature name</v>
      </c>
    </row>
    <row r="3" spans="1:26">
      <c r="A3" s="57" t="s">
        <v>71</v>
      </c>
      <c r="B3" s="58" t="s">
        <v>71</v>
      </c>
      <c r="C3" s="7" t="s">
        <v>206</v>
      </c>
      <c r="E3" s="7" t="str">
        <f ca="1">IFERROR(__xludf.DUMMYFUNCTION("""COMPUTED_VALUE"""),"Ane Díez Fernández")</f>
        <v>Ane Díez Fernández</v>
      </c>
      <c r="F3" s="7" t="str">
        <f ca="1">IFERROR(__xludf.DUMMYFUNCTION("""COMPUTED_VALUE"""),"LRM274")</f>
        <v>LRM274</v>
      </c>
      <c r="G3" s="7" t="str">
        <f ca="1">IFERROR(__xludf.DUMMYFUNCTION("""COMPUTED_VALUE"""),"Lisandro Russian")</f>
        <v>Lisandro Russian</v>
      </c>
      <c r="K3" s="25" t="s">
        <v>207</v>
      </c>
      <c r="L3" s="25" t="s">
        <v>208</v>
      </c>
      <c r="M3" s="25" t="s">
        <v>209</v>
      </c>
      <c r="O3" s="60" t="s">
        <v>67</v>
      </c>
      <c r="R3" s="7" t="str">
        <f ca="1">IFERROR(__xludf.DUMMYFUNCTION("""COMPUTED_VALUE"""),"MCC43")</f>
        <v>MCC43</v>
      </c>
    </row>
    <row r="4" spans="1:26">
      <c r="A4" s="57" t="s">
        <v>117</v>
      </c>
      <c r="B4" s="58" t="s">
        <v>117</v>
      </c>
      <c r="C4" s="7" t="s">
        <v>202</v>
      </c>
      <c r="E4" s="7" t="str">
        <f ca="1">IFERROR(__xludf.DUMMYFUNCTION("""COMPUTED_VALUE"""),"Andrés Bejarano Bueno")</f>
        <v>Andrés Bejarano Bueno</v>
      </c>
      <c r="F4" s="7" t="str">
        <f ca="1">IFERROR(__xludf.DUMMYFUNCTION("""COMPUTED_VALUE"""),"MBM235")</f>
        <v>MBM235</v>
      </c>
      <c r="G4" s="7" t="str">
        <f ca="1">IFERROR(__xludf.DUMMYFUNCTION("""COMPUTED_VALUE"""),"Maika Blázquez")</f>
        <v>Maika Blázquez</v>
      </c>
      <c r="K4" s="25" t="s">
        <v>210</v>
      </c>
      <c r="L4" s="25" t="s">
        <v>211</v>
      </c>
      <c r="M4" s="25" t="s">
        <v>212</v>
      </c>
      <c r="O4" s="60" t="s">
        <v>53</v>
      </c>
      <c r="R4" s="7" t="str">
        <f ca="1">IFERROR(__xludf.DUMMYFUNCTION("""COMPUTED_VALUE"""),"RFV19")</f>
        <v>RFV19</v>
      </c>
    </row>
    <row r="5" spans="1:26">
      <c r="A5" s="57" t="s">
        <v>213</v>
      </c>
      <c r="B5" s="58" t="s">
        <v>213</v>
      </c>
      <c r="C5" s="7" t="s">
        <v>214</v>
      </c>
      <c r="E5" s="7" t="str">
        <f ca="1">IFERROR(__xludf.DUMMYFUNCTION("""COMPUTED_VALUE"""),"Andreina Betancourt Martínez")</f>
        <v>Andreina Betancourt Martínez</v>
      </c>
      <c r="F5" s="7" t="str">
        <f ca="1">IFERROR(__xludf.DUMMYFUNCTION("""COMPUTED_VALUE"""),"ISL155")</f>
        <v>ISL155</v>
      </c>
      <c r="G5" s="7" t="str">
        <f ca="1">IFERROR(__xludf.DUMMYFUNCTION("""COMPUTED_VALUE"""),"Iván Sánchez")</f>
        <v>Iván Sánchez</v>
      </c>
      <c r="K5" s="25" t="s">
        <v>215</v>
      </c>
      <c r="L5" s="25" t="s">
        <v>216</v>
      </c>
      <c r="M5" s="25" t="s">
        <v>217</v>
      </c>
      <c r="O5" s="60" t="s">
        <v>129</v>
      </c>
      <c r="R5" s="7" t="str">
        <f ca="1">IFERROR(__xludf.DUMMYFUNCTION("""COMPUTED_VALUE"""),"LAA31")</f>
        <v>LAA31</v>
      </c>
    </row>
    <row r="6" spans="1:26">
      <c r="A6" s="57" t="s">
        <v>218</v>
      </c>
      <c r="B6" s="58" t="s">
        <v>218</v>
      </c>
      <c r="C6" s="7" t="s">
        <v>219</v>
      </c>
      <c r="E6" s="7" t="str">
        <f ca="1">IFERROR(__xludf.DUMMYFUNCTION("""COMPUTED_VALUE"""),"Andrea López")</f>
        <v>Andrea López</v>
      </c>
      <c r="F6" s="7" t="str">
        <f ca="1">IFERROR(__xludf.DUMMYFUNCTION("""COMPUTED_VALUE"""),"MBM234")</f>
        <v>MBM234</v>
      </c>
      <c r="G6" s="7" t="str">
        <f ca="1">IFERROR(__xludf.DUMMYFUNCTION("""COMPUTED_VALUE"""),"Maika Blázquez")</f>
        <v>Maika Blázquez</v>
      </c>
      <c r="K6" s="25" t="s">
        <v>220</v>
      </c>
      <c r="L6" s="25" t="s">
        <v>221</v>
      </c>
      <c r="M6" s="25" t="s">
        <v>222</v>
      </c>
      <c r="O6" s="60" t="s">
        <v>223</v>
      </c>
      <c r="R6" s="7" t="str">
        <f ca="1">IFERROR(__xludf.DUMMYFUNCTION("""COMPUTED_VALUE"""),"MBM65")</f>
        <v>MBM65</v>
      </c>
    </row>
    <row r="7" spans="1:26">
      <c r="A7" s="59" t="s">
        <v>224</v>
      </c>
      <c r="B7" s="58" t="s">
        <v>225</v>
      </c>
      <c r="C7" s="7" t="s">
        <v>226</v>
      </c>
      <c r="E7" s="7" t="str">
        <f ca="1">IFERROR(__xludf.DUMMYFUNCTION("""COMPUTED_VALUE"""),"Ana Clemente Arias")</f>
        <v>Ana Clemente Arias</v>
      </c>
      <c r="F7" s="7" t="str">
        <f ca="1">IFERROR(__xludf.DUMMYFUNCTION("""COMPUTED_VALUE"""),"MBM233")</f>
        <v>MBM233</v>
      </c>
      <c r="G7" s="7" t="str">
        <f ca="1">IFERROR(__xludf.DUMMYFUNCTION("""COMPUTED_VALUE"""),"Maika Blázquez")</f>
        <v>Maika Blázquez</v>
      </c>
      <c r="K7" s="25" t="s">
        <v>227</v>
      </c>
      <c r="L7" s="25" t="s">
        <v>228</v>
      </c>
      <c r="M7" s="25" t="s">
        <v>229</v>
      </c>
      <c r="O7" s="61" t="s">
        <v>230</v>
      </c>
      <c r="R7" s="7" t="str">
        <f ca="1">IFERROR(__xludf.DUMMYFUNCTION("""COMPUTED_VALUE"""),"ISL91")</f>
        <v>ISL91</v>
      </c>
    </row>
    <row r="8" spans="1:26">
      <c r="A8" s="57" t="s">
        <v>231</v>
      </c>
      <c r="B8" s="58" t="s">
        <v>232</v>
      </c>
      <c r="C8" s="7" t="s">
        <v>226</v>
      </c>
      <c r="E8" s="7" t="str">
        <f ca="1">IFERROR(__xludf.DUMMYFUNCTION("""COMPUTED_VALUE"""),"Amparo Postigo Madueño")</f>
        <v>Amparo Postigo Madueño</v>
      </c>
      <c r="F8" s="7" t="str">
        <f ca="1">IFERROR(__xludf.DUMMYFUNCTION("""COMPUTED_VALUE"""),"LAA90")</f>
        <v>LAA90</v>
      </c>
      <c r="G8" s="7" t="str">
        <f ca="1">IFERROR(__xludf.DUMMYFUNCTION("""COMPUTED_VALUE"""),"Luis Alberto Rodríguez")</f>
        <v>Luis Alberto Rodríguez</v>
      </c>
      <c r="K8" s="25" t="s">
        <v>233</v>
      </c>
      <c r="L8" s="25" t="s">
        <v>234</v>
      </c>
      <c r="M8" s="25" t="s">
        <v>235</v>
      </c>
      <c r="O8" s="60" t="s">
        <v>134</v>
      </c>
      <c r="R8" s="7" t="str">
        <f ca="1">IFERROR(__xludf.DUMMYFUNCTION("""COMPUTED_VALUE"""),"LAA09")</f>
        <v>LAA09</v>
      </c>
    </row>
    <row r="9" spans="1:26">
      <c r="A9" s="57" t="s">
        <v>236</v>
      </c>
      <c r="B9" s="58" t="s">
        <v>236</v>
      </c>
      <c r="C9" s="7" t="s">
        <v>237</v>
      </c>
      <c r="E9" s="7" t="str">
        <f ca="1">IFERROR(__xludf.DUMMYFUNCTION("""COMPUTED_VALUE"""),"Ali Ibrahim Farhat")</f>
        <v>Ali Ibrahim Farhat</v>
      </c>
      <c r="F9" s="7" t="str">
        <f ca="1">IFERROR(__xludf.DUMMYFUNCTION("""COMPUTED_VALUE"""),"MBM232")</f>
        <v>MBM232</v>
      </c>
      <c r="G9" s="7" t="str">
        <f ca="1">IFERROR(__xludf.DUMMYFUNCTION("""COMPUTED_VALUE"""),"Maika Blázquez")</f>
        <v>Maika Blázquez</v>
      </c>
      <c r="K9" s="25" t="s">
        <v>238</v>
      </c>
      <c r="L9" s="25" t="s">
        <v>239</v>
      </c>
      <c r="M9" s="25" t="s">
        <v>240</v>
      </c>
      <c r="O9" s="60" t="s">
        <v>28</v>
      </c>
      <c r="R9" s="7" t="str">
        <f ca="1">IFERROR(__xludf.DUMMYFUNCTION("""COMPUTED_VALUE"""),"Prueba")</f>
        <v>Prueba</v>
      </c>
    </row>
    <row r="10" spans="1:26">
      <c r="A10" s="57" t="s">
        <v>241</v>
      </c>
      <c r="B10" s="58" t="s">
        <v>241</v>
      </c>
      <c r="C10" s="7" t="s">
        <v>242</v>
      </c>
      <c r="E10" s="7" t="str">
        <f ca="1">IFERROR(__xludf.DUMMYFUNCTION("""COMPUTED_VALUE"""),"Itziar Jimenez Gomez")</f>
        <v>Itziar Jimenez Gomez</v>
      </c>
      <c r="F10" s="7" t="str">
        <f ca="1">IFERROR(__xludf.DUMMYFUNCTION("""COMPUTED_VALUE"""),"MBM231")</f>
        <v>MBM231</v>
      </c>
      <c r="G10" s="7" t="str">
        <f ca="1">IFERROR(__xludf.DUMMYFUNCTION("""COMPUTED_VALUE"""),"Maika Blázquez")</f>
        <v>Maika Blázquez</v>
      </c>
      <c r="K10" s="25" t="s">
        <v>243</v>
      </c>
      <c r="L10" s="25" t="s">
        <v>244</v>
      </c>
      <c r="M10" s="25" t="s">
        <v>245</v>
      </c>
      <c r="O10" s="61" t="s">
        <v>246</v>
      </c>
      <c r="R10" s="7" t="str">
        <f ca="1">IFERROR(__xludf.DUMMYFUNCTION("""COMPUTED_VALUE"""),"RPG51")</f>
        <v>RPG51</v>
      </c>
    </row>
    <row r="11" spans="1:26">
      <c r="A11" s="57" t="s">
        <v>247</v>
      </c>
      <c r="B11" s="58" t="s">
        <v>247</v>
      </c>
      <c r="C11" s="7" t="s">
        <v>237</v>
      </c>
      <c r="E11" s="7" t="str">
        <f ca="1">IFERROR(__xludf.DUMMYFUNCTION("""COMPUTED_VALUE"""),"Alfonso Rodríguez Fabio")</f>
        <v>Alfonso Rodríguez Fabio</v>
      </c>
      <c r="F11" s="7" t="str">
        <f ca="1">IFERROR(__xludf.DUMMYFUNCTION("""COMPUTED_VALUE"""),"ISL154")</f>
        <v>ISL154</v>
      </c>
      <c r="G11" s="7" t="str">
        <f ca="1">IFERROR(__xludf.DUMMYFUNCTION("""COMPUTED_VALUE"""),"Iván Sánchez")</f>
        <v>Iván Sánchez</v>
      </c>
      <c r="K11" s="25" t="s">
        <v>248</v>
      </c>
      <c r="L11" s="25" t="s">
        <v>249</v>
      </c>
      <c r="M11" s="25" t="s">
        <v>250</v>
      </c>
      <c r="O11" s="60" t="s">
        <v>33</v>
      </c>
      <c r="R11" s="7" t="str">
        <f ca="1">IFERROR(__xludf.DUMMYFUNCTION("""COMPUTED_VALUE"""),"MCC04")</f>
        <v>MCC04</v>
      </c>
    </row>
    <row r="12" spans="1:26">
      <c r="A12" s="59" t="s">
        <v>251</v>
      </c>
      <c r="B12" s="58" t="s">
        <v>251</v>
      </c>
      <c r="C12" s="7" t="s">
        <v>252</v>
      </c>
      <c r="E12" s="7" t="str">
        <f ca="1">IFERROR(__xludf.DUMMYFUNCTION("""COMPUTED_VALUE"""),"Alejandra Arellano Bárcenas")</f>
        <v>Alejandra Arellano Bárcenas</v>
      </c>
      <c r="F12" s="7" t="str">
        <f ca="1">IFERROR(__xludf.DUMMYFUNCTION("""COMPUTED_VALUE"""),"ISL153")</f>
        <v>ISL153</v>
      </c>
      <c r="G12" s="7" t="str">
        <f ca="1">IFERROR(__xludf.DUMMYFUNCTION("""COMPUTED_VALUE"""),"Iván Sánchez")</f>
        <v>Iván Sánchez</v>
      </c>
      <c r="K12" s="25" t="s">
        <v>253</v>
      </c>
      <c r="L12" s="25" t="s">
        <v>254</v>
      </c>
      <c r="M12" s="25" t="s">
        <v>255</v>
      </c>
      <c r="O12" s="60" t="s">
        <v>43</v>
      </c>
      <c r="R12" s="7" t="str">
        <f ca="1">IFERROR(__xludf.DUMMYFUNCTION("""COMPUTED_VALUE"""),"ISL122")</f>
        <v>ISL122</v>
      </c>
    </row>
    <row r="13" spans="1:26">
      <c r="A13" s="59" t="s">
        <v>256</v>
      </c>
      <c r="B13" s="58" t="s">
        <v>256</v>
      </c>
      <c r="E13" s="7" t="str">
        <f ca="1">IFERROR(__xludf.DUMMYFUNCTION("""COMPUTED_VALUE"""),"Ainhoa Leceta Sáez de Cámara")</f>
        <v>Ainhoa Leceta Sáez de Cámara</v>
      </c>
      <c r="F13" s="7" t="str">
        <f ca="1">IFERROR(__xludf.DUMMYFUNCTION("""COMPUTED_VALUE"""),"LRM273")</f>
        <v>LRM273</v>
      </c>
      <c r="G13" s="7" t="str">
        <f ca="1">IFERROR(__xludf.DUMMYFUNCTION("""COMPUTED_VALUE"""),"Lisandro Russian")</f>
        <v>Lisandro Russian</v>
      </c>
      <c r="K13" s="25" t="s">
        <v>257</v>
      </c>
      <c r="L13" s="25" t="s">
        <v>258</v>
      </c>
      <c r="M13" s="25" t="s">
        <v>259</v>
      </c>
      <c r="O13" s="61" t="s">
        <v>92</v>
      </c>
      <c r="R13" s="7" t="str">
        <f ca="1">IFERROR(__xludf.DUMMYFUNCTION("""COMPUTED_VALUE"""),"RFV11")</f>
        <v>RFV11</v>
      </c>
    </row>
    <row r="14" spans="1:26">
      <c r="A14" s="57" t="s">
        <v>260</v>
      </c>
      <c r="B14" s="58" t="s">
        <v>260</v>
      </c>
      <c r="C14" s="7" t="s">
        <v>261</v>
      </c>
      <c r="E14" s="7" t="str">
        <f ca="1">IFERROR(__xludf.DUMMYFUNCTION("""COMPUTED_VALUE"""),"Agustín Alcalá Fernández")</f>
        <v>Agustín Alcalá Fernández</v>
      </c>
      <c r="F14" s="7" t="str">
        <f ca="1">IFERROR(__xludf.DUMMYFUNCTION("""COMPUTED_VALUE"""),"LAA89")</f>
        <v>LAA89</v>
      </c>
      <c r="G14" s="7" t="str">
        <f ca="1">IFERROR(__xludf.DUMMYFUNCTION("""COMPUTED_VALUE"""),"Luis Alberto Rodríguez")</f>
        <v>Luis Alberto Rodríguez</v>
      </c>
      <c r="K14" s="25" t="s">
        <v>262</v>
      </c>
      <c r="L14" s="25" t="s">
        <v>263</v>
      </c>
      <c r="M14" s="25" t="s">
        <v>264</v>
      </c>
      <c r="O14" s="60" t="s">
        <v>265</v>
      </c>
      <c r="R14" s="7" t="str">
        <f ca="1">IFERROR(__xludf.DUMMYFUNCTION("""COMPUTED_VALUE"""),"MCC07")</f>
        <v>MCC07</v>
      </c>
    </row>
    <row r="15" spans="1:26">
      <c r="A15" s="57" t="s">
        <v>54</v>
      </c>
      <c r="B15" s="58" t="s">
        <v>54</v>
      </c>
      <c r="C15" s="7" t="s">
        <v>202</v>
      </c>
      <c r="E15" s="7" t="str">
        <f ca="1">IFERROR(__xludf.DUMMYFUNCTION("""COMPUTED_VALUE"""),"Abel Bogoya Castaño")</f>
        <v>Abel Bogoya Castaño</v>
      </c>
      <c r="F15" s="7" t="str">
        <f ca="1">IFERROR(__xludf.DUMMYFUNCTION("""COMPUTED_VALUE"""),"MBM187")</f>
        <v>MBM187</v>
      </c>
      <c r="G15" s="7" t="str">
        <f ca="1">IFERROR(__xludf.DUMMYFUNCTION("""COMPUTED_VALUE"""),"Maika Blázquez")</f>
        <v>Maika Blázquez</v>
      </c>
      <c r="K15" s="25" t="s">
        <v>266</v>
      </c>
      <c r="L15" s="25" t="s">
        <v>267</v>
      </c>
      <c r="M15" s="25" t="s">
        <v>152</v>
      </c>
      <c r="O15" s="60" t="s">
        <v>20</v>
      </c>
      <c r="R15" s="7" t="str">
        <f ca="1">IFERROR(__xludf.DUMMYFUNCTION("""COMPUTED_VALUE"""),"MBM131")</f>
        <v>MBM131</v>
      </c>
    </row>
    <row r="16" spans="1:26">
      <c r="A16" s="57" t="s">
        <v>268</v>
      </c>
      <c r="B16" s="58" t="s">
        <v>268</v>
      </c>
      <c r="C16" s="7" t="s">
        <v>237</v>
      </c>
      <c r="E16" s="7" t="str">
        <f ca="1">IFERROR(__xludf.DUMMYFUNCTION("""COMPUTED_VALUE"""),"Abel Guzmán Calvete")</f>
        <v>Abel Guzmán Calvete</v>
      </c>
      <c r="F16" s="7" t="str">
        <f ca="1">IFERROR(__xludf.DUMMYFUNCTION("""COMPUTED_VALUE"""),"RFV08")</f>
        <v>RFV08</v>
      </c>
      <c r="G16" s="7" t="str">
        <f ca="1">IFERROR(__xludf.DUMMYFUNCTION("""COMPUTED_VALUE"""),"Ramon Ferrando")</f>
        <v>Ramon Ferrando</v>
      </c>
      <c r="K16" s="25" t="s">
        <v>269</v>
      </c>
      <c r="L16" s="25" t="s">
        <v>267</v>
      </c>
      <c r="M16" s="25" t="s">
        <v>152</v>
      </c>
      <c r="O16" s="62" t="s">
        <v>76</v>
      </c>
      <c r="R16" s="7" t="str">
        <f ca="1">IFERROR(__xludf.DUMMYFUNCTION("""COMPUTED_VALUE"""),"RFV33")</f>
        <v>RFV33</v>
      </c>
    </row>
    <row r="17" spans="1:18">
      <c r="A17" s="57" t="s">
        <v>268</v>
      </c>
      <c r="B17" s="58" t="s">
        <v>268</v>
      </c>
      <c r="C17" s="7" t="s">
        <v>237</v>
      </c>
      <c r="E17" s="7" t="str">
        <f ca="1">IFERROR(__xludf.DUMMYFUNCTION("""COMPUTED_VALUE"""),"Adela Cordero Devesa")</f>
        <v>Adela Cordero Devesa</v>
      </c>
      <c r="F17" s="7" t="str">
        <f ca="1">IFERROR(__xludf.DUMMYFUNCTION("""COMPUTED_VALUE"""),"MBM86")</f>
        <v>MBM86</v>
      </c>
      <c r="G17" s="7" t="str">
        <f ca="1">IFERROR(__xludf.DUMMYFUNCTION("""COMPUTED_VALUE"""),"Maika Blázquez")</f>
        <v>Maika Blázquez</v>
      </c>
      <c r="K17" s="25" t="s">
        <v>270</v>
      </c>
      <c r="L17" s="25" t="s">
        <v>271</v>
      </c>
      <c r="M17" s="25" t="s">
        <v>272</v>
      </c>
      <c r="O17" s="60" t="s">
        <v>273</v>
      </c>
      <c r="R17" s="7" t="str">
        <f ca="1">IFERROR(__xludf.DUMMYFUNCTION("""COMPUTED_VALUE"""),"MBM114")</f>
        <v>MBM114</v>
      </c>
    </row>
    <row r="18" spans="1:18">
      <c r="A18" s="57" t="s">
        <v>25</v>
      </c>
      <c r="B18" s="58" t="s">
        <v>25</v>
      </c>
      <c r="C18" s="7" t="s">
        <v>274</v>
      </c>
      <c r="E18" s="7" t="str">
        <f ca="1">IFERROR(__xludf.DUMMYFUNCTION("""COMPUTED_VALUE"""),"Adela Pérez-Caro Ríos")</f>
        <v>Adela Pérez-Caro Ríos</v>
      </c>
      <c r="F18" s="7" t="str">
        <f ca="1">IFERROR(__xludf.DUMMYFUNCTION("""COMPUTED_VALUE"""),"RPG33")</f>
        <v>RPG33</v>
      </c>
      <c r="G18" s="7" t="str">
        <f ca="1">IFERROR(__xludf.DUMMYFUNCTION("""COMPUTED_VALUE"""),"Roberto Pereira")</f>
        <v>Roberto Pereira</v>
      </c>
      <c r="K18" s="25" t="s">
        <v>275</v>
      </c>
      <c r="L18" s="25" t="s">
        <v>276</v>
      </c>
      <c r="M18" s="25" t="s">
        <v>277</v>
      </c>
      <c r="O18" s="60"/>
      <c r="R18" s="7" t="str">
        <f ca="1">IFERROR(__xludf.DUMMYFUNCTION("""COMPUTED_VALUE"""),"MBM109")</f>
        <v>MBM109</v>
      </c>
    </row>
    <row r="19" spans="1:18">
      <c r="A19" s="57" t="s">
        <v>21</v>
      </c>
      <c r="B19" s="58" t="s">
        <v>21</v>
      </c>
      <c r="C19" s="7" t="s">
        <v>274</v>
      </c>
      <c r="E19" s="7" t="str">
        <f ca="1">IFERROR(__xludf.DUMMYFUNCTION("""COMPUTED_VALUE"""),"Adolfo Carlos Hinojar Gutierrez")</f>
        <v>Adolfo Carlos Hinojar Gutierrez</v>
      </c>
      <c r="F19" s="7" t="str">
        <f ca="1">IFERROR(__xludf.DUMMYFUNCTION("""COMPUTED_VALUE"""),"LRM01")</f>
        <v>LRM01</v>
      </c>
      <c r="G19" s="7" t="str">
        <f ca="1">IFERROR(__xludf.DUMMYFUNCTION("""COMPUTED_VALUE"""),"Lisandro Russian")</f>
        <v>Lisandro Russian</v>
      </c>
      <c r="K19" s="25" t="s">
        <v>278</v>
      </c>
      <c r="L19" s="25" t="s">
        <v>44</v>
      </c>
      <c r="M19" s="25" t="s">
        <v>279</v>
      </c>
      <c r="O19" s="60"/>
      <c r="R19" s="7" t="str">
        <f ca="1">IFERROR(__xludf.DUMMYFUNCTION("""COMPUTED_VALUE"""),"LAA64")</f>
        <v>LAA64</v>
      </c>
    </row>
    <row r="20" spans="1:18">
      <c r="A20" s="57" t="s">
        <v>280</v>
      </c>
      <c r="B20" s="58" t="s">
        <v>280</v>
      </c>
      <c r="C20" s="7" t="s">
        <v>281</v>
      </c>
      <c r="E20" s="7" t="str">
        <f ca="1">IFERROR(__xludf.DUMMYFUNCTION("""COMPUTED_VALUE"""),"Adolfo del Valle Zapico")</f>
        <v>Adolfo del Valle Zapico</v>
      </c>
      <c r="F20" s="7" t="str">
        <f ca="1">IFERROR(__xludf.DUMMYFUNCTION("""COMPUTED_VALUE"""),"AMM01")</f>
        <v>AMM01</v>
      </c>
      <c r="G20" s="7" t="str">
        <f ca="1">IFERROR(__xludf.DUMMYFUNCTION("""COMPUTED_VALUE"""),"Alberto Moreno")</f>
        <v>Alberto Moreno</v>
      </c>
      <c r="K20" s="25" t="s">
        <v>282</v>
      </c>
      <c r="L20" s="25" t="s">
        <v>51</v>
      </c>
      <c r="M20" s="25" t="s">
        <v>283</v>
      </c>
      <c r="O20" s="60"/>
      <c r="R20" s="7" t="str">
        <f ca="1">IFERROR(__xludf.DUMMYFUNCTION("""COMPUTED_VALUE"""),"MCC12")</f>
        <v>MCC12</v>
      </c>
    </row>
    <row r="21" spans="1:18">
      <c r="A21" s="59" t="s">
        <v>284</v>
      </c>
      <c r="B21" s="58" t="s">
        <v>284</v>
      </c>
      <c r="C21" s="7" t="s">
        <v>226</v>
      </c>
      <c r="E21" s="7" t="str">
        <f ca="1">IFERROR(__xludf.DUMMYFUNCTION("""COMPUTED_VALUE"""),"Adolfo Toledano Muñoz")</f>
        <v>Adolfo Toledano Muñoz</v>
      </c>
      <c r="F21" s="7" t="str">
        <f ca="1">IFERROR(__xludf.DUMMYFUNCTION("""COMPUTED_VALUE"""),"MBM01")</f>
        <v>MBM01</v>
      </c>
      <c r="G21" s="7" t="str">
        <f ca="1">IFERROR(__xludf.DUMMYFUNCTION("""COMPUTED_VALUE"""),"Maika Blázquez")</f>
        <v>Maika Blázquez</v>
      </c>
      <c r="K21" s="25" t="s">
        <v>285</v>
      </c>
      <c r="L21" s="25" t="s">
        <v>286</v>
      </c>
      <c r="M21" s="25" t="s">
        <v>287</v>
      </c>
      <c r="O21" s="60"/>
      <c r="R21" s="7" t="str">
        <f ca="1">IFERROR(__xludf.DUMMYFUNCTION("""COMPUTED_VALUE"""),"MBM60")</f>
        <v>MBM60</v>
      </c>
    </row>
    <row r="22" spans="1:18">
      <c r="A22" s="57" t="s">
        <v>288</v>
      </c>
      <c r="B22" s="58" t="s">
        <v>289</v>
      </c>
      <c r="C22" s="7" t="s">
        <v>226</v>
      </c>
      <c r="E22" s="7" t="str">
        <f ca="1">IFERROR(__xludf.DUMMYFUNCTION("""COMPUTED_VALUE"""),"Adriana Pardo Maza")</f>
        <v>Adriana Pardo Maza</v>
      </c>
      <c r="F22" s="7" t="str">
        <f ca="1">IFERROR(__xludf.DUMMYFUNCTION("""COMPUTED_VALUE"""),"LRM123")</f>
        <v>LRM123</v>
      </c>
      <c r="G22" s="7" t="str">
        <f ca="1">IFERROR(__xludf.DUMMYFUNCTION("""COMPUTED_VALUE"""),"Lisandro Russian")</f>
        <v>Lisandro Russian</v>
      </c>
      <c r="K22" s="25" t="s">
        <v>290</v>
      </c>
      <c r="L22" s="25" t="s">
        <v>100</v>
      </c>
      <c r="M22" s="25" t="s">
        <v>291</v>
      </c>
      <c r="R22" s="7" t="str">
        <f ca="1">IFERROR(__xludf.DUMMYFUNCTION("""COMPUTED_VALUE"""),"MCC32")</f>
        <v>MCC32</v>
      </c>
    </row>
    <row r="23" spans="1:18">
      <c r="A23" s="57" t="s">
        <v>292</v>
      </c>
      <c r="B23" s="58" t="s">
        <v>292</v>
      </c>
      <c r="C23" s="7" t="s">
        <v>214</v>
      </c>
      <c r="E23" s="7" t="str">
        <f ca="1">IFERROR(__xludf.DUMMYFUNCTION("""COMPUTED_VALUE"""),"Adriana Pérez García")</f>
        <v>Adriana Pérez García</v>
      </c>
      <c r="F23" s="7" t="str">
        <f ca="1">IFERROR(__xludf.DUMMYFUNCTION("""COMPUTED_VALUE"""),"MBM87")</f>
        <v>MBM87</v>
      </c>
      <c r="G23" s="7" t="str">
        <f ca="1">IFERROR(__xludf.DUMMYFUNCTION("""COMPUTED_VALUE"""),"Maika Blázquez")</f>
        <v>Maika Blázquez</v>
      </c>
      <c r="K23" s="25" t="s">
        <v>293</v>
      </c>
      <c r="L23" s="25" t="s">
        <v>294</v>
      </c>
      <c r="M23" s="25" t="s">
        <v>295</v>
      </c>
      <c r="R23" s="7" t="str">
        <f ca="1">IFERROR(__xludf.DUMMYFUNCTION("""COMPUTED_VALUE"""),"RPG31")</f>
        <v>RPG31</v>
      </c>
    </row>
    <row r="24" spans="1:18">
      <c r="A24" s="57" t="s">
        <v>296</v>
      </c>
      <c r="B24" s="58" t="s">
        <v>17</v>
      </c>
      <c r="C24" s="7" t="s">
        <v>214</v>
      </c>
      <c r="E24" s="7" t="str">
        <f ca="1">IFERROR(__xludf.DUMMYFUNCTION("""COMPUTED_VALUE"""),"Africa Jiménez de la Rosa")</f>
        <v>Africa Jiménez de la Rosa</v>
      </c>
      <c r="F24" s="7" t="str">
        <f ca="1">IFERROR(__xludf.DUMMYFUNCTION("""COMPUTED_VALUE"""),"ISL82")</f>
        <v>ISL82</v>
      </c>
      <c r="G24" s="7" t="str">
        <f ca="1">IFERROR(__xludf.DUMMYFUNCTION("""COMPUTED_VALUE"""),"Iván Sánchez")</f>
        <v>Iván Sánchez</v>
      </c>
      <c r="K24" s="25" t="s">
        <v>297</v>
      </c>
      <c r="L24" s="25" t="s">
        <v>294</v>
      </c>
      <c r="M24" s="25" t="s">
        <v>295</v>
      </c>
      <c r="R24" s="7" t="str">
        <f ca="1">IFERROR(__xludf.DUMMYFUNCTION("""COMPUTED_VALUE"""),"ISL104")</f>
        <v>ISL104</v>
      </c>
    </row>
    <row r="25" spans="1:18">
      <c r="A25" s="57" t="s">
        <v>298</v>
      </c>
      <c r="B25" s="58" t="s">
        <v>298</v>
      </c>
      <c r="C25" s="7" t="s">
        <v>237</v>
      </c>
      <c r="E25" s="7" t="str">
        <f ca="1">IFERROR(__xludf.DUMMYFUNCTION("""COMPUTED_VALUE"""),"Agustín Campos Catalá")</f>
        <v>Agustín Campos Catalá</v>
      </c>
      <c r="F25" s="7" t="str">
        <f ca="1">IFERROR(__xludf.DUMMYFUNCTION("""COMPUTED_VALUE"""),"RFV09")</f>
        <v>RFV09</v>
      </c>
      <c r="G25" s="7" t="str">
        <f ca="1">IFERROR(__xludf.DUMMYFUNCTION("""COMPUTED_VALUE"""),"Ramon Ferrando")</f>
        <v>Ramon Ferrando</v>
      </c>
      <c r="K25" s="25" t="s">
        <v>299</v>
      </c>
      <c r="L25" s="25" t="s">
        <v>294</v>
      </c>
      <c r="M25" s="25" t="s">
        <v>295</v>
      </c>
      <c r="R25" s="7" t="str">
        <f ca="1">IFERROR(__xludf.DUMMYFUNCTION("""COMPUTED_VALUE"""),"ISL53")</f>
        <v>ISL53</v>
      </c>
    </row>
    <row r="26" spans="1:18">
      <c r="A26" s="59" t="s">
        <v>300</v>
      </c>
      <c r="B26" s="58" t="s">
        <v>300</v>
      </c>
      <c r="C26" s="7" t="s">
        <v>301</v>
      </c>
      <c r="E26" s="7" t="str">
        <f ca="1">IFERROR(__xludf.DUMMYFUNCTION("""COMPUTED_VALUE"""),"Agustina Nicole Arbia Kalutich")</f>
        <v>Agustina Nicole Arbia Kalutich</v>
      </c>
      <c r="F26" s="7" t="str">
        <f ca="1">IFERROR(__xludf.DUMMYFUNCTION("""COMPUTED_VALUE"""),"MBM205")</f>
        <v>MBM205</v>
      </c>
      <c r="G26" s="7" t="str">
        <f ca="1">IFERROR(__xludf.DUMMYFUNCTION("""COMPUTED_VALUE"""),"Maika Blázquez")</f>
        <v>Maika Blázquez</v>
      </c>
      <c r="K26" s="25" t="s">
        <v>302</v>
      </c>
      <c r="L26" s="25" t="s">
        <v>303</v>
      </c>
      <c r="M26" s="25" t="s">
        <v>304</v>
      </c>
      <c r="R26" s="7" t="str">
        <f ca="1">IFERROR(__xludf.DUMMYFUNCTION("""COMPUTED_VALUE"""),"MBM20")</f>
        <v>MBM20</v>
      </c>
    </row>
    <row r="27" spans="1:18">
      <c r="A27" s="57" t="s">
        <v>305</v>
      </c>
      <c r="B27" s="58" t="s">
        <v>305</v>
      </c>
      <c r="C27" s="7" t="s">
        <v>306</v>
      </c>
      <c r="E27" s="7" t="str">
        <f ca="1">IFERROR(__xludf.DUMMYFUNCTION("""COMPUTED_VALUE"""),"Aida Aviñoa Arias")</f>
        <v>Aida Aviñoa Arias</v>
      </c>
      <c r="F27" s="7" t="str">
        <f ca="1">IFERROR(__xludf.DUMMYFUNCTION("""COMPUTED_VALUE"""),"ISL83")</f>
        <v>ISL83</v>
      </c>
      <c r="G27" s="7" t="str">
        <f ca="1">IFERROR(__xludf.DUMMYFUNCTION("""COMPUTED_VALUE"""),"Iván Sánchez")</f>
        <v>Iván Sánchez</v>
      </c>
      <c r="K27" s="25" t="s">
        <v>307</v>
      </c>
      <c r="L27" s="25" t="s">
        <v>308</v>
      </c>
      <c r="M27" s="25" t="s">
        <v>309</v>
      </c>
      <c r="R27" s="7" t="str">
        <f ca="1">IFERROR(__xludf.DUMMYFUNCTION("""COMPUTED_VALUE"""),"MBM153")</f>
        <v>MBM153</v>
      </c>
    </row>
    <row r="28" spans="1:18">
      <c r="A28" s="57" t="s">
        <v>50</v>
      </c>
      <c r="B28" s="58" t="s">
        <v>50</v>
      </c>
      <c r="C28" s="7" t="s">
        <v>310</v>
      </c>
      <c r="E28" s="7" t="str">
        <f ca="1">IFERROR(__xludf.DUMMYFUNCTION("""COMPUTED_VALUE"""),"Aina Brunet García")</f>
        <v>Aina Brunet García</v>
      </c>
      <c r="F28" s="7" t="str">
        <f ca="1">IFERROR(__xludf.DUMMYFUNCTION("""COMPUTED_VALUE"""),"MCC35")</f>
        <v>MCC35</v>
      </c>
      <c r="G28" s="7" t="str">
        <f ca="1">IFERROR(__xludf.DUMMYFUNCTION("""COMPUTED_VALUE"""),"Mercè Cabrera")</f>
        <v>Mercè Cabrera</v>
      </c>
      <c r="K28" s="25" t="s">
        <v>311</v>
      </c>
      <c r="L28" s="25" t="s">
        <v>312</v>
      </c>
      <c r="M28" s="25" t="s">
        <v>313</v>
      </c>
      <c r="R28" s="7" t="str">
        <f ca="1">IFERROR(__xludf.DUMMYFUNCTION("""COMPUTED_VALUE"""),"MCC38")</f>
        <v>MCC38</v>
      </c>
    </row>
    <row r="29" spans="1:18">
      <c r="A29" s="63" t="s">
        <v>314</v>
      </c>
      <c r="B29" s="58" t="s">
        <v>314</v>
      </c>
      <c r="C29" s="7" t="s">
        <v>315</v>
      </c>
      <c r="E29" s="7" t="str">
        <f ca="1">IFERROR(__xludf.DUMMYFUNCTION("""COMPUTED_VALUE"""),"Ainhoa Beato Martínez")</f>
        <v>Ainhoa Beato Martínez</v>
      </c>
      <c r="F29" s="7" t="str">
        <f ca="1">IFERROR(__xludf.DUMMYFUNCTION("""COMPUTED_VALUE"""),"LRM124")</f>
        <v>LRM124</v>
      </c>
      <c r="G29" s="7" t="str">
        <f ca="1">IFERROR(__xludf.DUMMYFUNCTION("""COMPUTED_VALUE"""),"Lisandro Russian")</f>
        <v>Lisandro Russian</v>
      </c>
      <c r="K29" s="25" t="s">
        <v>316</v>
      </c>
      <c r="L29" s="25" t="s">
        <v>123</v>
      </c>
      <c r="M29" s="25" t="s">
        <v>317</v>
      </c>
      <c r="R29" s="7" t="str">
        <f ca="1">IFERROR(__xludf.DUMMYFUNCTION("""COMPUTED_VALUE"""),"MBM186")</f>
        <v>MBM186</v>
      </c>
    </row>
    <row r="30" spans="1:18">
      <c r="A30" s="57" t="s">
        <v>318</v>
      </c>
      <c r="B30" s="58" t="s">
        <v>30</v>
      </c>
      <c r="C30" s="7" t="s">
        <v>214</v>
      </c>
      <c r="E30" s="7" t="str">
        <f ca="1">IFERROR(__xludf.DUMMYFUNCTION("""COMPUTED_VALUE"""),"Ainhoa García-Lliberos de Miguel")</f>
        <v>Ainhoa García-Lliberos de Miguel</v>
      </c>
      <c r="F30" s="7" t="str">
        <f ca="1">IFERROR(__xludf.DUMMYFUNCTION("""COMPUTED_VALUE"""),"RFV26")</f>
        <v>RFV26</v>
      </c>
      <c r="G30" s="7" t="str">
        <f ca="1">IFERROR(__xludf.DUMMYFUNCTION("""COMPUTED_VALUE"""),"Ramon Ferrando")</f>
        <v>Ramon Ferrando</v>
      </c>
      <c r="K30" s="25" t="s">
        <v>319</v>
      </c>
      <c r="L30" s="25" t="s">
        <v>320</v>
      </c>
      <c r="M30" s="25" t="s">
        <v>321</v>
      </c>
      <c r="R30" s="7" t="str">
        <f ca="1">IFERROR(__xludf.DUMMYFUNCTION("""COMPUTED_VALUE"""),"MCC50")</f>
        <v>MCC50</v>
      </c>
    </row>
    <row r="31" spans="1:18">
      <c r="A31" s="57" t="s">
        <v>322</v>
      </c>
      <c r="B31" s="58" t="s">
        <v>323</v>
      </c>
      <c r="C31" s="7" t="s">
        <v>324</v>
      </c>
      <c r="E31" s="7" t="str">
        <f ca="1">IFERROR(__xludf.DUMMYFUNCTION("""COMPUTED_VALUE"""),"Ainhoa Moreno Bravo")</f>
        <v>Ainhoa Moreno Bravo</v>
      </c>
      <c r="F31" s="7" t="str">
        <f ca="1">IFERROR(__xludf.DUMMYFUNCTION("""COMPUTED_VALUE"""),"LRM125")</f>
        <v>LRM125</v>
      </c>
      <c r="G31" s="7" t="str">
        <f ca="1">IFERROR(__xludf.DUMMYFUNCTION("""COMPUTED_VALUE"""),"Lisandro Russian")</f>
        <v>Lisandro Russian</v>
      </c>
      <c r="K31" s="25" t="s">
        <v>325</v>
      </c>
      <c r="L31" s="25" t="s">
        <v>326</v>
      </c>
      <c r="M31" s="25" t="s">
        <v>327</v>
      </c>
      <c r="R31" s="7" t="str">
        <f ca="1">IFERROR(__xludf.DUMMYFUNCTION("""COMPUTED_VALUE"""),"MBM189")</f>
        <v>MBM189</v>
      </c>
    </row>
    <row r="32" spans="1:18">
      <c r="A32" s="57" t="s">
        <v>328</v>
      </c>
      <c r="B32" s="58" t="s">
        <v>329</v>
      </c>
      <c r="C32" s="7" t="s">
        <v>330</v>
      </c>
      <c r="E32" s="7" t="str">
        <f ca="1">IFERROR(__xludf.DUMMYFUNCTION("""COMPUTED_VALUE"""),"Alba Carrero González")</f>
        <v>Alba Carrero González</v>
      </c>
      <c r="F32" s="7" t="str">
        <f ca="1">IFERROR(__xludf.DUMMYFUNCTION("""COMPUTED_VALUE"""),"RPG34")</f>
        <v>RPG34</v>
      </c>
      <c r="G32" s="7" t="str">
        <f ca="1">IFERROR(__xludf.DUMMYFUNCTION("""COMPUTED_VALUE"""),"Roberto Pereira")</f>
        <v>Roberto Pereira</v>
      </c>
      <c r="K32" s="25" t="s">
        <v>331</v>
      </c>
      <c r="L32" s="25" t="s">
        <v>332</v>
      </c>
      <c r="M32" s="25" t="s">
        <v>333</v>
      </c>
      <c r="R32" s="7" t="str">
        <f ca="1">IFERROR(__xludf.DUMMYFUNCTION("""COMPUTED_VALUE"""),"MCC65")</f>
        <v>MCC65</v>
      </c>
    </row>
    <row r="33" spans="1:18">
      <c r="A33" s="57" t="s">
        <v>334</v>
      </c>
      <c r="B33" s="58" t="s">
        <v>47</v>
      </c>
      <c r="C33" s="7" t="s">
        <v>214</v>
      </c>
      <c r="E33" s="7" t="str">
        <f ca="1">IFERROR(__xludf.DUMMYFUNCTION("""COMPUTED_VALUE"""),"Alba Domínguez Palos")</f>
        <v>Alba Domínguez Palos</v>
      </c>
      <c r="F33" s="7" t="str">
        <f ca="1">IFERROR(__xludf.DUMMYFUNCTION("""COMPUTED_VALUE"""),"MBM88")</f>
        <v>MBM88</v>
      </c>
      <c r="G33" s="7" t="str">
        <f ca="1">IFERROR(__xludf.DUMMYFUNCTION("""COMPUTED_VALUE"""),"Maika Blázquez")</f>
        <v>Maika Blázquez</v>
      </c>
      <c r="K33" s="25" t="s">
        <v>335</v>
      </c>
      <c r="L33" s="25" t="s">
        <v>336</v>
      </c>
      <c r="M33" s="25" t="s">
        <v>337</v>
      </c>
      <c r="R33" s="7" t="str">
        <f ca="1">IFERROR(__xludf.DUMMYFUNCTION("""COMPUTED_VALUE"""),"MBM75")</f>
        <v>MBM75</v>
      </c>
    </row>
    <row r="34" spans="1:18">
      <c r="A34" s="57" t="s">
        <v>338</v>
      </c>
      <c r="B34" s="58" t="s">
        <v>40</v>
      </c>
      <c r="C34" s="7" t="s">
        <v>339</v>
      </c>
      <c r="E34" s="7" t="str">
        <f ca="1">IFERROR(__xludf.DUMMYFUNCTION("""COMPUTED_VALUE"""),"Alba Molina Moreno")</f>
        <v>Alba Molina Moreno</v>
      </c>
      <c r="F34" s="7" t="str">
        <f ca="1">IFERROR(__xludf.DUMMYFUNCTION("""COMPUTED_VALUE"""),"ISL84")</f>
        <v>ISL84</v>
      </c>
      <c r="G34" s="7" t="str">
        <f ca="1">IFERROR(__xludf.DUMMYFUNCTION("""COMPUTED_VALUE"""),"Iván Sánchez")</f>
        <v>Iván Sánchez</v>
      </c>
      <c r="K34" s="25" t="s">
        <v>340</v>
      </c>
      <c r="L34" s="25" t="s">
        <v>341</v>
      </c>
      <c r="M34" s="25" t="s">
        <v>342</v>
      </c>
      <c r="R34" s="7" t="str">
        <f ca="1">IFERROR(__xludf.DUMMYFUNCTION("""COMPUTED_VALUE"""),"MBM24")</f>
        <v>MBM24</v>
      </c>
    </row>
    <row r="35" spans="1:18">
      <c r="A35" s="57" t="s">
        <v>343</v>
      </c>
      <c r="B35" s="58" t="s">
        <v>344</v>
      </c>
      <c r="C35" s="7" t="s">
        <v>214</v>
      </c>
      <c r="E35" s="7" t="str">
        <f ca="1">IFERROR(__xludf.DUMMYFUNCTION("""COMPUTED_VALUE"""),"Albert Llansana Ríos")</f>
        <v>Albert Llansana Ríos</v>
      </c>
      <c r="F35" s="7" t="str">
        <f ca="1">IFERROR(__xludf.DUMMYFUNCTION("""COMPUTED_VALUE"""),"MCC01")</f>
        <v>MCC01</v>
      </c>
      <c r="G35" s="7" t="str">
        <f ca="1">IFERROR(__xludf.DUMMYFUNCTION("""COMPUTED_VALUE"""),"Mercè Cabrera")</f>
        <v>Mercè Cabrera</v>
      </c>
      <c r="K35" s="25" t="s">
        <v>345</v>
      </c>
      <c r="L35" s="25" t="s">
        <v>346</v>
      </c>
      <c r="M35" s="25" t="s">
        <v>347</v>
      </c>
      <c r="R35" s="7" t="str">
        <f ca="1">IFERROR(__xludf.DUMMYFUNCTION("""COMPUTED_VALUE"""),"MBM11")</f>
        <v>MBM11</v>
      </c>
    </row>
    <row r="36" spans="1:18">
      <c r="A36" s="57" t="s">
        <v>348</v>
      </c>
      <c r="B36" s="58" t="s">
        <v>349</v>
      </c>
      <c r="C36" s="7" t="s">
        <v>214</v>
      </c>
      <c r="E36" s="7" t="str">
        <f ca="1">IFERROR(__xludf.DUMMYFUNCTION("""COMPUTED_VALUE"""),"Albert Pla Esperanzi")</f>
        <v>Albert Pla Esperanzi</v>
      </c>
      <c r="F36" s="7" t="str">
        <f ca="1">IFERROR(__xludf.DUMMYFUNCTION("""COMPUTED_VALUE"""),"MCC76")</f>
        <v>MCC76</v>
      </c>
      <c r="G36" s="7" t="str">
        <f ca="1">IFERROR(__xludf.DUMMYFUNCTION("""COMPUTED_VALUE"""),"Mercè Cabrera")</f>
        <v>Mercè Cabrera</v>
      </c>
      <c r="K36" s="25" t="s">
        <v>350</v>
      </c>
      <c r="L36" s="25" t="s">
        <v>351</v>
      </c>
      <c r="M36" s="25" t="s">
        <v>352</v>
      </c>
      <c r="R36" s="7" t="str">
        <f ca="1">IFERROR(__xludf.DUMMYFUNCTION("""COMPUTED_VALUE"""),"ISL95")</f>
        <v>ISL95</v>
      </c>
    </row>
    <row r="37" spans="1:18">
      <c r="A37" s="57" t="s">
        <v>353</v>
      </c>
      <c r="B37" s="58" t="s">
        <v>353</v>
      </c>
      <c r="C37" s="7" t="s">
        <v>206</v>
      </c>
      <c r="E37" s="7" t="str">
        <f ca="1">IFERROR(__xludf.DUMMYFUNCTION("""COMPUTED_VALUE"""),"Alberto García Guzmán")</f>
        <v>Alberto García Guzmán</v>
      </c>
      <c r="F37" s="7" t="str">
        <f ca="1">IFERROR(__xludf.DUMMYFUNCTION("""COMPUTED_VALUE"""),"LRM02")</f>
        <v>LRM02</v>
      </c>
      <c r="G37" s="7" t="str">
        <f ca="1">IFERROR(__xludf.DUMMYFUNCTION("""COMPUTED_VALUE"""),"Lisandro Russian")</f>
        <v>Lisandro Russian</v>
      </c>
      <c r="K37" s="25" t="s">
        <v>354</v>
      </c>
      <c r="L37" s="25" t="s">
        <v>355</v>
      </c>
      <c r="M37" s="25" t="s">
        <v>356</v>
      </c>
      <c r="R37" s="7" t="str">
        <f ca="1">IFERROR(__xludf.DUMMYFUNCTION("""COMPUTED_VALUE"""),"MBM40")</f>
        <v>MBM40</v>
      </c>
    </row>
    <row r="38" spans="1:18">
      <c r="A38" s="57" t="s">
        <v>93</v>
      </c>
      <c r="B38" s="58" t="s">
        <v>93</v>
      </c>
      <c r="C38" s="7" t="s">
        <v>202</v>
      </c>
      <c r="E38" s="7" t="str">
        <f ca="1">IFERROR(__xludf.DUMMYFUNCTION("""COMPUTED_VALUE"""),"Alberto Guillén Martínez")</f>
        <v>Alberto Guillén Martínez</v>
      </c>
      <c r="F38" s="7" t="str">
        <f ca="1">IFERROR(__xludf.DUMMYFUNCTION("""COMPUTED_VALUE"""),"ISL152")</f>
        <v>ISL152</v>
      </c>
      <c r="G38" s="7" t="str">
        <f ca="1">IFERROR(__xludf.DUMMYFUNCTION("""COMPUTED_VALUE"""),"Iván Sánchez")</f>
        <v>Iván Sánchez</v>
      </c>
      <c r="K38" s="25" t="s">
        <v>357</v>
      </c>
      <c r="L38" s="25" t="s">
        <v>358</v>
      </c>
      <c r="M38" s="25" t="s">
        <v>359</v>
      </c>
      <c r="R38" s="7" t="str">
        <f ca="1">IFERROR(__xludf.DUMMYFUNCTION("""COMPUTED_VALUE"""),"LRM246")</f>
        <v>LRM246</v>
      </c>
    </row>
    <row r="39" spans="1:18">
      <c r="A39" s="57" t="s">
        <v>360</v>
      </c>
      <c r="B39" s="58" t="s">
        <v>361</v>
      </c>
      <c r="C39" s="7" t="s">
        <v>362</v>
      </c>
      <c r="E39" s="7" t="str">
        <f ca="1">IFERROR(__xludf.DUMMYFUNCTION("""COMPUTED_VALUE"""),"Alberto Raposo Jiménez")</f>
        <v>Alberto Raposo Jiménez</v>
      </c>
      <c r="F39" s="7" t="str">
        <f ca="1">IFERROR(__xludf.DUMMYFUNCTION("""COMPUTED_VALUE"""),"ISL01")</f>
        <v>ISL01</v>
      </c>
      <c r="G39" s="7" t="str">
        <f ca="1">IFERROR(__xludf.DUMMYFUNCTION("""COMPUTED_VALUE"""),"Iván Sánchez")</f>
        <v>Iván Sánchez</v>
      </c>
      <c r="K39" s="25" t="s">
        <v>363</v>
      </c>
      <c r="L39" s="25" t="s">
        <v>364</v>
      </c>
      <c r="M39" s="25" t="s">
        <v>365</v>
      </c>
      <c r="R39" s="7" t="str">
        <f ca="1">IFERROR(__xludf.DUMMYFUNCTION("""COMPUTED_VALUE"""),"LRM125")</f>
        <v>LRM125</v>
      </c>
    </row>
    <row r="40" spans="1:18">
      <c r="A40" s="57" t="s">
        <v>366</v>
      </c>
      <c r="B40" s="58" t="s">
        <v>366</v>
      </c>
      <c r="C40" s="7" t="s">
        <v>367</v>
      </c>
      <c r="E40" s="7" t="str">
        <f ca="1">IFERROR(__xludf.DUMMYFUNCTION("""COMPUTED_VALUE"""),"Alberto Tauste Gómez")</f>
        <v>Alberto Tauste Gómez</v>
      </c>
      <c r="F40" s="7" t="str">
        <f ca="1">IFERROR(__xludf.DUMMYFUNCTION("""COMPUTED_VALUE"""),"MBM02")</f>
        <v>MBM02</v>
      </c>
      <c r="G40" s="7" t="str">
        <f ca="1">IFERROR(__xludf.DUMMYFUNCTION("""COMPUTED_VALUE"""),"Maika Blázquez")</f>
        <v>Maika Blázquez</v>
      </c>
      <c r="K40" s="25" t="s">
        <v>368</v>
      </c>
      <c r="L40" s="25" t="s">
        <v>369</v>
      </c>
      <c r="M40" s="25" t="s">
        <v>370</v>
      </c>
      <c r="R40" s="7" t="str">
        <f ca="1">IFERROR(__xludf.DUMMYFUNCTION("""COMPUTED_VALUE"""),"MCC27")</f>
        <v>MCC27</v>
      </c>
    </row>
    <row r="41" spans="1:18">
      <c r="A41" s="57" t="s">
        <v>371</v>
      </c>
      <c r="B41" s="58" t="s">
        <v>89</v>
      </c>
      <c r="C41" s="7" t="s">
        <v>214</v>
      </c>
      <c r="E41" s="7" t="str">
        <f ca="1">IFERROR(__xludf.DUMMYFUNCTION("""COMPUTED_VALUE"""),"Alejandra Aguirre Figueroa")</f>
        <v>Alejandra Aguirre Figueroa</v>
      </c>
      <c r="F41" s="7" t="str">
        <f ca="1">IFERROR(__xludf.DUMMYFUNCTION("""COMPUTED_VALUE"""),"LRM126")</f>
        <v>LRM126</v>
      </c>
      <c r="G41" s="7" t="str">
        <f ca="1">IFERROR(__xludf.DUMMYFUNCTION("""COMPUTED_VALUE"""),"Lisandro Russian")</f>
        <v>Lisandro Russian</v>
      </c>
      <c r="K41" s="25" t="s">
        <v>372</v>
      </c>
      <c r="L41" s="25" t="s">
        <v>373</v>
      </c>
      <c r="M41" s="25" t="s">
        <v>374</v>
      </c>
      <c r="R41" s="7" t="str">
        <f ca="1">IFERROR(__xludf.DUMMYFUNCTION("""COMPUTED_VALUE"""),"MBM41")</f>
        <v>MBM41</v>
      </c>
    </row>
    <row r="42" spans="1:18">
      <c r="A42" s="57" t="s">
        <v>375</v>
      </c>
      <c r="B42" s="58" t="s">
        <v>376</v>
      </c>
      <c r="C42" s="7" t="s">
        <v>281</v>
      </c>
      <c r="E42" s="7" t="str">
        <f ca="1">IFERROR(__xludf.DUMMYFUNCTION("""COMPUTED_VALUE"""),"Alejandra Alvarado Namen")</f>
        <v>Alejandra Alvarado Namen</v>
      </c>
      <c r="F42" s="7" t="str">
        <f ca="1">IFERROR(__xludf.DUMMYFUNCTION("""COMPUTED_VALUE"""),"ISL150")</f>
        <v>ISL150</v>
      </c>
      <c r="G42" s="7" t="str">
        <f ca="1">IFERROR(__xludf.DUMMYFUNCTION("""COMPUTED_VALUE"""),"Iván Sánchez")</f>
        <v>Iván Sánchez</v>
      </c>
      <c r="K42" s="25" t="s">
        <v>377</v>
      </c>
      <c r="L42" s="25" t="s">
        <v>378</v>
      </c>
      <c r="M42" s="25" t="s">
        <v>379</v>
      </c>
      <c r="R42" s="7" t="str">
        <f ca="1">IFERROR(__xludf.DUMMYFUNCTION("""COMPUTED_VALUE"""),"LRM220")</f>
        <v>LRM220</v>
      </c>
    </row>
    <row r="43" spans="1:18">
      <c r="A43" s="59" t="s">
        <v>380</v>
      </c>
      <c r="B43" s="58" t="s">
        <v>380</v>
      </c>
      <c r="C43" s="7" t="s">
        <v>281</v>
      </c>
      <c r="E43" s="7" t="str">
        <f ca="1">IFERROR(__xludf.DUMMYFUNCTION("""COMPUTED_VALUE"""),"Alejandra Carrasco Gómez")</f>
        <v>Alejandra Carrasco Gómez</v>
      </c>
      <c r="F43" s="7" t="str">
        <f ca="1">IFERROR(__xludf.DUMMYFUNCTION("""COMPUTED_VALUE"""),"MBM89")</f>
        <v>MBM89</v>
      </c>
      <c r="G43" s="7" t="str">
        <f ca="1">IFERROR(__xludf.DUMMYFUNCTION("""COMPUTED_VALUE"""),"Maika Blázquez")</f>
        <v>Maika Blázquez</v>
      </c>
      <c r="K43" s="25" t="s">
        <v>381</v>
      </c>
      <c r="L43" s="25" t="s">
        <v>63</v>
      </c>
      <c r="M43" s="25" t="s">
        <v>382</v>
      </c>
      <c r="R43" s="7" t="str">
        <f ca="1">IFERROR(__xludf.DUMMYFUNCTION("""COMPUTED_VALUE"""),"ISL14")</f>
        <v>ISL14</v>
      </c>
    </row>
    <row r="44" spans="1:18">
      <c r="A44" s="57" t="s">
        <v>383</v>
      </c>
      <c r="B44" s="58" t="s">
        <v>383</v>
      </c>
      <c r="C44" s="7" t="s">
        <v>384</v>
      </c>
      <c r="E44" s="7" t="str">
        <f ca="1">IFERROR(__xludf.DUMMYFUNCTION("""COMPUTED_VALUE"""),"Alejandra Jara Maquilón")</f>
        <v>Alejandra Jara Maquilón</v>
      </c>
      <c r="F44" s="7" t="str">
        <f ca="1">IFERROR(__xludf.DUMMYFUNCTION("""COMPUTED_VALUE"""),"ISL91")</f>
        <v>ISL91</v>
      </c>
      <c r="G44" s="7" t="str">
        <f ca="1">IFERROR(__xludf.DUMMYFUNCTION("""COMPUTED_VALUE"""),"Iván Sánchez")</f>
        <v>Iván Sánchez</v>
      </c>
      <c r="K44" s="25" t="s">
        <v>385</v>
      </c>
      <c r="L44" s="25" t="s">
        <v>386</v>
      </c>
      <c r="M44" s="25" t="s">
        <v>387</v>
      </c>
      <c r="R44" s="7" t="str">
        <f ca="1">IFERROR(__xludf.DUMMYFUNCTION("""COMPUTED_VALUE"""),"MBM125")</f>
        <v>MBM125</v>
      </c>
    </row>
    <row r="45" spans="1:18">
      <c r="A45" s="57" t="s">
        <v>388</v>
      </c>
      <c r="B45" s="58" t="s">
        <v>388</v>
      </c>
      <c r="C45" s="7" t="s">
        <v>389</v>
      </c>
      <c r="E45" s="7" t="str">
        <f ca="1">IFERROR(__xludf.DUMMYFUNCTION("""COMPUTED_VALUE"""),"Alejandra Pérez Ferrando")</f>
        <v>Alejandra Pérez Ferrando</v>
      </c>
      <c r="F45" s="7" t="str">
        <f ca="1">IFERROR(__xludf.DUMMYFUNCTION("""COMPUTED_VALUE"""),"ISL86")</f>
        <v>ISL86</v>
      </c>
      <c r="G45" s="7" t="str">
        <f ca="1">IFERROR(__xludf.DUMMYFUNCTION("""COMPUTED_VALUE"""),"Iván Sánchez")</f>
        <v>Iván Sánchez</v>
      </c>
      <c r="K45" s="25" t="s">
        <v>390</v>
      </c>
      <c r="L45" s="25" t="s">
        <v>391</v>
      </c>
      <c r="M45" s="25" t="s">
        <v>392</v>
      </c>
      <c r="R45" s="7" t="str">
        <f ca="1">IFERROR(__xludf.DUMMYFUNCTION("""COMPUTED_VALUE"""),"ISL136")</f>
        <v>ISL136</v>
      </c>
    </row>
    <row r="46" spans="1:18">
      <c r="A46" s="57" t="s">
        <v>393</v>
      </c>
      <c r="B46" s="58" t="s">
        <v>393</v>
      </c>
      <c r="C46" s="7" t="s">
        <v>362</v>
      </c>
      <c r="E46" s="7" t="str">
        <f ca="1">IFERROR(__xludf.DUMMYFUNCTION("""COMPUTED_VALUE"""),"Alejandro Díaz Uña")</f>
        <v>Alejandro Díaz Uña</v>
      </c>
      <c r="F46" s="7" t="str">
        <f ca="1">IFERROR(__xludf.DUMMYFUNCTION("""COMPUTED_VALUE"""),"RPG01")</f>
        <v>RPG01</v>
      </c>
      <c r="G46" s="7" t="str">
        <f ca="1">IFERROR(__xludf.DUMMYFUNCTION("""COMPUTED_VALUE"""),"Roberto Pereira")</f>
        <v>Roberto Pereira</v>
      </c>
      <c r="K46" s="25" t="s">
        <v>394</v>
      </c>
      <c r="L46" s="25" t="s">
        <v>395</v>
      </c>
      <c r="M46" s="25" t="s">
        <v>396</v>
      </c>
      <c r="R46" s="7" t="str">
        <f ca="1">IFERROR(__xludf.DUMMYFUNCTION("""COMPUTED_VALUE"""),"MCC64")</f>
        <v>MCC64</v>
      </c>
    </row>
    <row r="47" spans="1:18">
      <c r="A47" s="57" t="s">
        <v>397</v>
      </c>
      <c r="B47" s="58" t="s">
        <v>397</v>
      </c>
      <c r="C47" s="7" t="s">
        <v>398</v>
      </c>
      <c r="E47" s="7" t="str">
        <f ca="1">IFERROR(__xludf.DUMMYFUNCTION("""COMPUTED_VALUE"""),"Alejandro Harguindey Antoli-Candela")</f>
        <v>Alejandro Harguindey Antoli-Candela</v>
      </c>
      <c r="F47" s="7" t="str">
        <f ca="1">IFERROR(__xludf.DUMMYFUNCTION("""COMPUTED_VALUE"""),"MBM03")</f>
        <v>MBM03</v>
      </c>
      <c r="G47" s="7" t="str">
        <f ca="1">IFERROR(__xludf.DUMMYFUNCTION("""COMPUTED_VALUE"""),"Maika Blázquez")</f>
        <v>Maika Blázquez</v>
      </c>
      <c r="K47" s="25" t="s">
        <v>399</v>
      </c>
      <c r="L47" s="64" t="s">
        <v>400</v>
      </c>
      <c r="M47" s="25" t="s">
        <v>401</v>
      </c>
      <c r="R47" s="7" t="str">
        <f ca="1">IFERROR(__xludf.DUMMYFUNCTION("""COMPUTED_VALUE"""),"ISL75")</f>
        <v>ISL75</v>
      </c>
    </row>
    <row r="48" spans="1:18">
      <c r="A48" s="57" t="s">
        <v>97</v>
      </c>
      <c r="B48" s="58" t="s">
        <v>97</v>
      </c>
      <c r="C48" s="7" t="s">
        <v>214</v>
      </c>
      <c r="E48" s="7" t="str">
        <f ca="1">IFERROR(__xludf.DUMMYFUNCTION("""COMPUTED_VALUE"""),"Alejandro Martínez Morán")</f>
        <v>Alejandro Martínez Morán</v>
      </c>
      <c r="F48" s="7" t="str">
        <f ca="1">IFERROR(__xludf.DUMMYFUNCTION("""COMPUTED_VALUE"""),"LRM03")</f>
        <v>LRM03</v>
      </c>
      <c r="G48" s="7" t="str">
        <f ca="1">IFERROR(__xludf.DUMMYFUNCTION("""COMPUTED_VALUE"""),"Lisandro Russian")</f>
        <v>Lisandro Russian</v>
      </c>
      <c r="K48" s="25" t="s">
        <v>402</v>
      </c>
      <c r="L48" s="25" t="s">
        <v>31</v>
      </c>
      <c r="M48" s="25" t="s">
        <v>403</v>
      </c>
      <c r="R48" s="7" t="str">
        <f ca="1">IFERROR(__xludf.DUMMYFUNCTION("""COMPUTED_VALUE"""),"LRM227")</f>
        <v>LRM227</v>
      </c>
    </row>
    <row r="49" spans="1:18">
      <c r="A49" s="57" t="s">
        <v>404</v>
      </c>
      <c r="B49" s="58" t="s">
        <v>405</v>
      </c>
      <c r="C49" s="7" t="s">
        <v>406</v>
      </c>
      <c r="E49" s="7" t="str">
        <f ca="1">IFERROR(__xludf.DUMMYFUNCTION("""COMPUTED_VALUE"""),"Alejandro Tejero-Garcés Monclús")</f>
        <v>Alejandro Tejero-Garcés Monclús</v>
      </c>
      <c r="F49" s="7" t="str">
        <f ca="1">IFERROR(__xludf.DUMMYFUNCTION("""COMPUTED_VALUE"""),"LRM04")</f>
        <v>LRM04</v>
      </c>
      <c r="G49" s="7" t="str">
        <f ca="1">IFERROR(__xludf.DUMMYFUNCTION("""COMPUTED_VALUE"""),"Lisandro Russian")</f>
        <v>Lisandro Russian</v>
      </c>
      <c r="K49" s="25" t="s">
        <v>407</v>
      </c>
      <c r="L49" s="25" t="s">
        <v>31</v>
      </c>
      <c r="M49" s="25" t="s">
        <v>403</v>
      </c>
      <c r="R49" s="7" t="str">
        <f ca="1">IFERROR(__xludf.DUMMYFUNCTION("""COMPUTED_VALUE"""),"MCC67")</f>
        <v>MCC67</v>
      </c>
    </row>
    <row r="50" spans="1:18">
      <c r="A50" s="57" t="s">
        <v>408</v>
      </c>
      <c r="B50" s="58" t="s">
        <v>409</v>
      </c>
      <c r="C50" s="7" t="s">
        <v>410</v>
      </c>
      <c r="E50" s="7" t="str">
        <f ca="1">IFERROR(__xludf.DUMMYFUNCTION("""COMPUTED_VALUE"""),"Alex Portillo Medina")</f>
        <v>Alex Portillo Medina</v>
      </c>
      <c r="F50" s="7" t="str">
        <f ca="1">IFERROR(__xludf.DUMMYFUNCTION("""COMPUTED_VALUE"""),"MCC02")</f>
        <v>MCC02</v>
      </c>
      <c r="G50" s="7" t="str">
        <f ca="1">IFERROR(__xludf.DUMMYFUNCTION("""COMPUTED_VALUE"""),"Mercè Cabrera")</f>
        <v>Mercè Cabrera</v>
      </c>
      <c r="K50" s="25" t="s">
        <v>411</v>
      </c>
      <c r="L50" s="25" t="s">
        <v>412</v>
      </c>
      <c r="M50" s="25" t="s">
        <v>413</v>
      </c>
      <c r="R50" s="7" t="str">
        <f ca="1">IFERROR(__xludf.DUMMYFUNCTION("""COMPUTED_VALUE"""),"RFV28")</f>
        <v>RFV28</v>
      </c>
    </row>
    <row r="51" spans="1:18">
      <c r="A51" s="57" t="s">
        <v>414</v>
      </c>
      <c r="B51" s="58" t="s">
        <v>34</v>
      </c>
      <c r="C51" s="7" t="s">
        <v>415</v>
      </c>
      <c r="E51" s="7" t="str">
        <f ca="1">IFERROR(__xludf.DUMMYFUNCTION("""COMPUTED_VALUE"""),"Àlex Ramírez Rosa")</f>
        <v>Àlex Ramírez Rosa</v>
      </c>
      <c r="F51" s="7" t="str">
        <f ca="1">IFERROR(__xludf.DUMMYFUNCTION("""COMPUTED_VALUE"""),"MBM04")</f>
        <v>MBM04</v>
      </c>
      <c r="G51" s="7" t="str">
        <f ca="1">IFERROR(__xludf.DUMMYFUNCTION("""COMPUTED_VALUE"""),"Maika Blázquez")</f>
        <v>Maika Blázquez</v>
      </c>
      <c r="K51" s="25" t="s">
        <v>416</v>
      </c>
      <c r="L51" s="25" t="s">
        <v>417</v>
      </c>
      <c r="M51" s="25" t="s">
        <v>418</v>
      </c>
      <c r="R51" s="7" t="str">
        <f ca="1">IFERROR(__xludf.DUMMYFUNCTION("""COMPUTED_VALUE"""),"MCC69")</f>
        <v>MCC69</v>
      </c>
    </row>
    <row r="52" spans="1:18">
      <c r="A52" s="57" t="s">
        <v>419</v>
      </c>
      <c r="B52" s="58" t="s">
        <v>419</v>
      </c>
      <c r="C52" s="7" t="s">
        <v>420</v>
      </c>
      <c r="E52" s="7" t="str">
        <f ca="1">IFERROR(__xludf.DUMMYFUNCTION("""COMPUTED_VALUE"""),"Alfonso Aracil Montesinos")</f>
        <v>Alfonso Aracil Montesinos</v>
      </c>
      <c r="F52" s="7" t="str">
        <f ca="1">IFERROR(__xludf.DUMMYFUNCTION("""COMPUTED_VALUE"""),"ISL02")</f>
        <v>ISL02</v>
      </c>
      <c r="G52" s="7" t="str">
        <f ca="1">IFERROR(__xludf.DUMMYFUNCTION("""COMPUTED_VALUE"""),"Iván Sánchez")</f>
        <v>Iván Sánchez</v>
      </c>
      <c r="K52" s="25" t="s">
        <v>421</v>
      </c>
      <c r="L52" s="25" t="s">
        <v>422</v>
      </c>
      <c r="M52" s="25" t="s">
        <v>423</v>
      </c>
      <c r="R52" s="7" t="str">
        <f ca="1">IFERROR(__xludf.DUMMYFUNCTION("""COMPUTED_VALUE"""),"MBM145")</f>
        <v>MBM145</v>
      </c>
    </row>
    <row r="53" spans="1:18">
      <c r="A53" s="57" t="s">
        <v>424</v>
      </c>
      <c r="B53" s="58" t="s">
        <v>424</v>
      </c>
      <c r="C53" s="7" t="s">
        <v>425</v>
      </c>
      <c r="E53" s="7" t="str">
        <f ca="1">IFERROR(__xludf.DUMMYFUNCTION("""COMPUTED_VALUE"""),"Alfonso Campos González")</f>
        <v>Alfonso Campos González</v>
      </c>
      <c r="F53" s="7" t="str">
        <f ca="1">IFERROR(__xludf.DUMMYFUNCTION("""COMPUTED_VALUE"""),"LRM05")</f>
        <v>LRM05</v>
      </c>
      <c r="G53" s="7" t="str">
        <f ca="1">IFERROR(__xludf.DUMMYFUNCTION("""COMPUTED_VALUE"""),"Lisandro Russian")</f>
        <v>Lisandro Russian</v>
      </c>
      <c r="K53" s="25" t="s">
        <v>426</v>
      </c>
      <c r="L53" s="25" t="s">
        <v>422</v>
      </c>
      <c r="M53" s="25" t="s">
        <v>423</v>
      </c>
      <c r="R53" s="7" t="str">
        <f ca="1">IFERROR(__xludf.DUMMYFUNCTION("""COMPUTED_VALUE"""),"MBM36")</f>
        <v>MBM36</v>
      </c>
    </row>
    <row r="54" spans="1:18">
      <c r="A54" s="57" t="s">
        <v>427</v>
      </c>
      <c r="B54" s="58" t="s">
        <v>427</v>
      </c>
      <c r="C54" s="7" t="s">
        <v>214</v>
      </c>
      <c r="E54" s="7" t="str">
        <f ca="1">IFERROR(__xludf.DUMMYFUNCTION("""COMPUTED_VALUE"""),"Alfonso Capitan Guarnizo")</f>
        <v>Alfonso Capitan Guarnizo</v>
      </c>
      <c r="F54" s="7" t="str">
        <f ca="1">IFERROR(__xludf.DUMMYFUNCTION("""COMPUTED_VALUE"""),"ISL03")</f>
        <v>ISL03</v>
      </c>
      <c r="G54" s="7" t="str">
        <f ca="1">IFERROR(__xludf.DUMMYFUNCTION("""COMPUTED_VALUE"""),"Iván Sánchez")</f>
        <v>Iván Sánchez</v>
      </c>
      <c r="K54" s="25" t="s">
        <v>428</v>
      </c>
      <c r="L54" s="25" t="s">
        <v>429</v>
      </c>
      <c r="M54" s="25" t="s">
        <v>430</v>
      </c>
      <c r="R54" s="7" t="str">
        <f ca="1">IFERROR(__xludf.DUMMYFUNCTION("""COMPUTED_VALUE"""),"RFV22")</f>
        <v>RFV22</v>
      </c>
    </row>
    <row r="55" spans="1:18">
      <c r="A55" s="57" t="s">
        <v>431</v>
      </c>
      <c r="B55" s="58" t="s">
        <v>37</v>
      </c>
      <c r="C55" s="7" t="s">
        <v>301</v>
      </c>
      <c r="E55" s="7" t="str">
        <f ca="1">IFERROR(__xludf.DUMMYFUNCTION("""COMPUTED_VALUE"""),"Alfonso García Piñero")</f>
        <v>Alfonso García Piñero</v>
      </c>
      <c r="F55" s="7" t="str">
        <f ca="1">IFERROR(__xludf.DUMMYFUNCTION("""COMPUTED_VALUE"""),"ISL04")</f>
        <v>ISL04</v>
      </c>
      <c r="G55" s="7" t="str">
        <f ca="1">IFERROR(__xludf.DUMMYFUNCTION("""COMPUTED_VALUE"""),"Iván Sánchez")</f>
        <v>Iván Sánchez</v>
      </c>
      <c r="K55" s="25" t="s">
        <v>432</v>
      </c>
      <c r="L55" s="25" t="s">
        <v>433</v>
      </c>
      <c r="M55" s="25" t="s">
        <v>434</v>
      </c>
      <c r="R55" s="7" t="str">
        <f ca="1">IFERROR(__xludf.DUMMYFUNCTION("""COMPUTED_VALUE"""),"LAA71")</f>
        <v>LAA71</v>
      </c>
    </row>
    <row r="56" spans="1:18">
      <c r="A56" s="57" t="s">
        <v>435</v>
      </c>
      <c r="B56" s="58" t="s">
        <v>58</v>
      </c>
      <c r="C56" s="7" t="s">
        <v>202</v>
      </c>
      <c r="E56" s="7" t="str">
        <f ca="1">IFERROR(__xludf.DUMMYFUNCTION("""COMPUTED_VALUE"""),"Alfonso Marco Garrido")</f>
        <v>Alfonso Marco Garrido</v>
      </c>
      <c r="F56" s="7" t="str">
        <f ca="1">IFERROR(__xludf.DUMMYFUNCTION("""COMPUTED_VALUE"""),"ISL05")</f>
        <v>ISL05</v>
      </c>
      <c r="G56" s="7" t="str">
        <f ca="1">IFERROR(__xludf.DUMMYFUNCTION("""COMPUTED_VALUE"""),"Iván Sánchez")</f>
        <v>Iván Sánchez</v>
      </c>
      <c r="K56" s="25" t="s">
        <v>436</v>
      </c>
      <c r="L56" s="25" t="s">
        <v>437</v>
      </c>
      <c r="M56" s="25" t="s">
        <v>438</v>
      </c>
      <c r="R56" s="7" t="str">
        <f ca="1">IFERROR(__xludf.DUMMYFUNCTION("""COMPUTED_VALUE"""),"RFV21")</f>
        <v>RFV21</v>
      </c>
    </row>
    <row r="57" spans="1:18">
      <c r="A57" s="57" t="s">
        <v>58</v>
      </c>
      <c r="B57" s="58" t="s">
        <v>58</v>
      </c>
      <c r="C57" s="7" t="s">
        <v>202</v>
      </c>
      <c r="E57" s="7" t="str">
        <f ca="1">IFERROR(__xludf.DUMMYFUNCTION("""COMPUTED_VALUE"""),"Alfonso María Pérez Sánchez")</f>
        <v>Alfonso María Pérez Sánchez</v>
      </c>
      <c r="F57" s="7" t="str">
        <f ca="1">IFERROR(__xludf.DUMMYFUNCTION("""COMPUTED_VALUE"""),"LAA83")</f>
        <v>LAA83</v>
      </c>
      <c r="G57" s="7" t="str">
        <f ca="1">IFERROR(__xludf.DUMMYFUNCTION("""COMPUTED_VALUE"""),"Luis Alberto Rodríguez")</f>
        <v>Luis Alberto Rodríguez</v>
      </c>
      <c r="K57" s="25" t="s">
        <v>439</v>
      </c>
      <c r="L57" s="25" t="s">
        <v>38</v>
      </c>
      <c r="M57" s="25" t="s">
        <v>440</v>
      </c>
      <c r="R57" s="7" t="str">
        <f ca="1">IFERROR(__xludf.DUMMYFUNCTION("""COMPUTED_VALUE"""),"MBM128")</f>
        <v>MBM128</v>
      </c>
    </row>
    <row r="58" spans="1:18">
      <c r="A58" s="59" t="s">
        <v>62</v>
      </c>
      <c r="B58" s="58" t="s">
        <v>62</v>
      </c>
      <c r="C58" s="7" t="s">
        <v>214</v>
      </c>
      <c r="E58" s="7" t="str">
        <f ca="1">IFERROR(__xludf.DUMMYFUNCTION("""COMPUTED_VALUE"""),"Alfonso Plaza López")</f>
        <v>Alfonso Plaza López</v>
      </c>
      <c r="F58" s="7" t="str">
        <f ca="1">IFERROR(__xludf.DUMMYFUNCTION("""COMPUTED_VALUE"""),"LRM06")</f>
        <v>LRM06</v>
      </c>
      <c r="G58" s="7" t="str">
        <f ca="1">IFERROR(__xludf.DUMMYFUNCTION("""COMPUTED_VALUE"""),"Lisandro Russian")</f>
        <v>Lisandro Russian</v>
      </c>
      <c r="K58" s="25" t="s">
        <v>441</v>
      </c>
      <c r="L58" s="25" t="s">
        <v>442</v>
      </c>
      <c r="M58" s="25" t="s">
        <v>443</v>
      </c>
      <c r="R58" s="7" t="str">
        <f ca="1">IFERROR(__xludf.DUMMYFUNCTION("""COMPUTED_VALUE"""),"MCC74")</f>
        <v>MCC74</v>
      </c>
    </row>
    <row r="59" spans="1:18">
      <c r="A59" s="59" t="s">
        <v>444</v>
      </c>
      <c r="B59" s="58" t="s">
        <v>444</v>
      </c>
      <c r="C59" s="7" t="s">
        <v>445</v>
      </c>
      <c r="E59" s="7" t="str">
        <f ca="1">IFERROR(__xludf.DUMMYFUNCTION("""COMPUTED_VALUE"""),"Alfonso Santamaría Gadea")</f>
        <v>Alfonso Santamaría Gadea</v>
      </c>
      <c r="F59" s="7" t="str">
        <f ca="1">IFERROR(__xludf.DUMMYFUNCTION("""COMPUTED_VALUE"""),"MBM05")</f>
        <v>MBM05</v>
      </c>
      <c r="G59" s="7" t="str">
        <f ca="1">IFERROR(__xludf.DUMMYFUNCTION("""COMPUTED_VALUE"""),"Maika Blázquez")</f>
        <v>Maika Blázquez</v>
      </c>
      <c r="K59" s="25" t="s">
        <v>446</v>
      </c>
      <c r="L59" s="25" t="s">
        <v>447</v>
      </c>
      <c r="M59" s="25" t="s">
        <v>448</v>
      </c>
      <c r="R59" s="7" t="str">
        <f ca="1">IFERROR(__xludf.DUMMYFUNCTION("""COMPUTED_VALUE"""),"RFV24")</f>
        <v>RFV24</v>
      </c>
    </row>
    <row r="60" spans="1:18">
      <c r="A60" s="58" t="s">
        <v>449</v>
      </c>
      <c r="B60" s="58" t="s">
        <v>449</v>
      </c>
      <c r="C60" s="7" t="s">
        <v>237</v>
      </c>
      <c r="E60" s="7" t="str">
        <f ca="1">IFERROR(__xludf.DUMMYFUNCTION("""COMPUTED_VALUE"""),"Alicia Gómez cabezas")</f>
        <v>Alicia Gómez cabezas</v>
      </c>
      <c r="F60" s="7" t="str">
        <f ca="1">IFERROR(__xludf.DUMMYFUNCTION("""COMPUTED_VALUE"""),"LRM255")</f>
        <v>LRM255</v>
      </c>
      <c r="G60" s="7" t="str">
        <f ca="1">IFERROR(__xludf.DUMMYFUNCTION("""COMPUTED_VALUE"""),"Lisandro Russian")</f>
        <v>Lisandro Russian</v>
      </c>
      <c r="K60" s="25" t="s">
        <v>450</v>
      </c>
      <c r="L60" s="58" t="s">
        <v>451</v>
      </c>
      <c r="M60" s="58" t="s">
        <v>452</v>
      </c>
      <c r="R60" s="7" t="str">
        <f ca="1">IFERROR(__xludf.DUMMYFUNCTION("""COMPUTED_VALUE"""),"MCC40")</f>
        <v>MCC40</v>
      </c>
    </row>
    <row r="61" spans="1:18">
      <c r="A61" s="58" t="s">
        <v>453</v>
      </c>
      <c r="B61" s="58" t="s">
        <v>453</v>
      </c>
      <c r="C61" s="7" t="s">
        <v>454</v>
      </c>
      <c r="E61" s="7" t="str">
        <f ca="1">IFERROR(__xludf.DUMMYFUNCTION("""COMPUTED_VALUE"""),"Alicia González Moreno")</f>
        <v>Alicia González Moreno</v>
      </c>
      <c r="F61" s="7" t="str">
        <f ca="1">IFERROR(__xludf.DUMMYFUNCTION("""COMPUTED_VALUE"""),"MCC36")</f>
        <v>MCC36</v>
      </c>
      <c r="G61" s="7" t="str">
        <f ca="1">IFERROR(__xludf.DUMMYFUNCTION("""COMPUTED_VALUE"""),"Mercè Cabrera")</f>
        <v>Mercè Cabrera</v>
      </c>
      <c r="K61" s="64" t="s">
        <v>455</v>
      </c>
      <c r="L61" s="58" t="s">
        <v>456</v>
      </c>
      <c r="M61" s="58" t="s">
        <v>457</v>
      </c>
      <c r="R61" s="7" t="str">
        <f ca="1">IFERROR(__xludf.DUMMYFUNCTION("""COMPUTED_VALUE"""),"LRM06")</f>
        <v>LRM06</v>
      </c>
    </row>
    <row r="62" spans="1:18">
      <c r="A62" s="59" t="s">
        <v>458</v>
      </c>
      <c r="B62" s="58" t="s">
        <v>459</v>
      </c>
      <c r="C62" s="7" t="s">
        <v>460</v>
      </c>
      <c r="E62" s="7" t="str">
        <f ca="1">IFERROR(__xludf.DUMMYFUNCTION("""COMPUTED_VALUE"""),"Alicia Mateo Espinosa")</f>
        <v>Alicia Mateo Espinosa</v>
      </c>
      <c r="F62" s="7" t="str">
        <f ca="1">IFERROR(__xludf.DUMMYFUNCTION("""COMPUTED_VALUE"""),"ISL87")</f>
        <v>ISL87</v>
      </c>
      <c r="G62" s="7" t="str">
        <f ca="1">IFERROR(__xludf.DUMMYFUNCTION("""COMPUTED_VALUE"""),"Iván Sánchez")</f>
        <v>Iván Sánchez</v>
      </c>
      <c r="K62" s="25" t="s">
        <v>461</v>
      </c>
      <c r="L62" s="25" t="s">
        <v>55</v>
      </c>
      <c r="M62" s="25" t="s">
        <v>146</v>
      </c>
      <c r="R62" s="7" t="str">
        <f ca="1">IFERROR(__xludf.DUMMYFUNCTION("""COMPUTED_VALUE"""),"RFV10")</f>
        <v>RFV10</v>
      </c>
    </row>
    <row r="63" spans="1:18">
      <c r="A63" s="25" t="s">
        <v>462</v>
      </c>
      <c r="B63" s="58" t="s">
        <v>462</v>
      </c>
      <c r="C63" s="7" t="s">
        <v>226</v>
      </c>
      <c r="E63" s="7" t="str">
        <f ca="1">IFERROR(__xludf.DUMMYFUNCTION("""COMPUTED_VALUE"""),"Alicia Suárez Calvo")</f>
        <v>Alicia Suárez Calvo</v>
      </c>
      <c r="F63" s="7" t="str">
        <f ca="1">IFERROR(__xludf.DUMMYFUNCTION("""COMPUTED_VALUE"""),"LRM127")</f>
        <v>LRM127</v>
      </c>
      <c r="G63" s="7" t="str">
        <f ca="1">IFERROR(__xludf.DUMMYFUNCTION("""COMPUTED_VALUE"""),"Lisandro Russian")</f>
        <v>Lisandro Russian</v>
      </c>
      <c r="K63" s="25" t="s">
        <v>463</v>
      </c>
      <c r="L63" s="25" t="s">
        <v>464</v>
      </c>
      <c r="M63" s="25" t="s">
        <v>465</v>
      </c>
      <c r="R63" s="7" t="str">
        <f ca="1">IFERROR(__xludf.DUMMYFUNCTION("""COMPUTED_VALUE"""),"LAA77")</f>
        <v>LAA77</v>
      </c>
    </row>
    <row r="64" spans="1:18">
      <c r="A64" s="25" t="s">
        <v>466</v>
      </c>
      <c r="B64" s="58" t="s">
        <v>466</v>
      </c>
      <c r="C64" s="7" t="s">
        <v>467</v>
      </c>
      <c r="E64" s="7" t="str">
        <f ca="1">IFERROR(__xludf.DUMMYFUNCTION("""COMPUTED_VALUE"""),"Alvaro Borque Sanz")</f>
        <v>Alvaro Borque Sanz</v>
      </c>
      <c r="F64" s="7" t="str">
        <f ca="1">IFERROR(__xludf.DUMMYFUNCTION("""COMPUTED_VALUE"""),"MBM206")</f>
        <v>MBM206</v>
      </c>
      <c r="G64" s="7" t="str">
        <f ca="1">IFERROR(__xludf.DUMMYFUNCTION("""COMPUTED_VALUE"""),"Maika Blázquez")</f>
        <v>Maika Blázquez</v>
      </c>
      <c r="K64" s="25" t="s">
        <v>468</v>
      </c>
      <c r="L64" s="25" t="s">
        <v>469</v>
      </c>
      <c r="M64" s="25" t="s">
        <v>470</v>
      </c>
      <c r="R64" s="7" t="str">
        <f ca="1">IFERROR(__xludf.DUMMYFUNCTION("""COMPUTED_VALUE"""),"LAA72")</f>
        <v>LAA72</v>
      </c>
    </row>
    <row r="65" spans="1:18">
      <c r="A65" s="25" t="s">
        <v>471</v>
      </c>
      <c r="B65" s="58" t="s">
        <v>472</v>
      </c>
      <c r="C65" s="7" t="s">
        <v>473</v>
      </c>
      <c r="E65" s="7" t="str">
        <f ca="1">IFERROR(__xludf.DUMMYFUNCTION("""COMPUTED_VALUE"""),"Álvaro Carrillo Sotos")</f>
        <v>Álvaro Carrillo Sotos</v>
      </c>
      <c r="F65" s="7" t="str">
        <f ca="1">IFERROR(__xludf.DUMMYFUNCTION("""COMPUTED_VALUE"""),"MBM06")</f>
        <v>MBM06</v>
      </c>
      <c r="G65" s="7" t="str">
        <f ca="1">IFERROR(__xludf.DUMMYFUNCTION("""COMPUTED_VALUE"""),"Maika Blázquez")</f>
        <v>Maika Blázquez</v>
      </c>
      <c r="K65" s="25" t="s">
        <v>474</v>
      </c>
      <c r="L65" s="25" t="s">
        <v>22</v>
      </c>
      <c r="M65" s="25" t="s">
        <v>475</v>
      </c>
      <c r="R65" s="7" t="str">
        <f ca="1">IFERROR(__xludf.DUMMYFUNCTION("""COMPUTED_VALUE"""),"LRM266")</f>
        <v>LRM266</v>
      </c>
    </row>
    <row r="66" spans="1:18">
      <c r="A66" s="25" t="s">
        <v>476</v>
      </c>
      <c r="B66" s="58" t="s">
        <v>476</v>
      </c>
      <c r="C66" s="7" t="s">
        <v>473</v>
      </c>
      <c r="E66" s="7" t="str">
        <f ca="1">IFERROR(__xludf.DUMMYFUNCTION("""COMPUTED_VALUE"""),"Álvaro Pérez Llinares")</f>
        <v>Álvaro Pérez Llinares</v>
      </c>
      <c r="F66" s="7" t="str">
        <f ca="1">IFERROR(__xludf.DUMMYFUNCTION("""COMPUTED_VALUE"""),"RFV10")</f>
        <v>RFV10</v>
      </c>
      <c r="G66" s="7" t="str">
        <f ca="1">IFERROR(__xludf.DUMMYFUNCTION("""COMPUTED_VALUE"""),"Ramon Ferrando")</f>
        <v>Ramon Ferrando</v>
      </c>
      <c r="K66" s="25" t="s">
        <v>477</v>
      </c>
      <c r="L66" s="25" t="s">
        <v>478</v>
      </c>
      <c r="M66" s="25" t="s">
        <v>479</v>
      </c>
      <c r="R66" s="7" t="str">
        <f ca="1">IFERROR(__xludf.DUMMYFUNCTION("""COMPUTED_VALUE"""),"ISL119")</f>
        <v>ISL119</v>
      </c>
    </row>
    <row r="67" spans="1:18">
      <c r="A67" s="27" t="s">
        <v>480</v>
      </c>
      <c r="B67" s="18" t="s">
        <v>481</v>
      </c>
      <c r="C67" s="7" t="s">
        <v>214</v>
      </c>
      <c r="E67" s="7" t="str">
        <f ca="1">IFERROR(__xludf.DUMMYFUNCTION("""COMPUTED_VALUE"""),"Álvaro Sánchez Álvarez")</f>
        <v>Álvaro Sánchez Álvarez</v>
      </c>
      <c r="F67" s="7" t="str">
        <f ca="1">IFERROR(__xludf.DUMMYFUNCTION("""COMPUTED_VALUE"""),"LRM07")</f>
        <v>LRM07</v>
      </c>
      <c r="G67" s="7" t="str">
        <f ca="1">IFERROR(__xludf.DUMMYFUNCTION("""COMPUTED_VALUE"""),"Lisandro Russian")</f>
        <v>Lisandro Russian</v>
      </c>
      <c r="K67" s="25" t="s">
        <v>482</v>
      </c>
      <c r="L67" s="25" t="s">
        <v>483</v>
      </c>
      <c r="M67" s="25" t="s">
        <v>484</v>
      </c>
      <c r="R67" s="7" t="str">
        <f ca="1">IFERROR(__xludf.DUMMYFUNCTION("""COMPUTED_VALUE"""),"LAA27")</f>
        <v>LAA27</v>
      </c>
    </row>
    <row r="68" spans="1:18">
      <c r="E68" s="7" t="str">
        <f ca="1">IFERROR(__xludf.DUMMYFUNCTION("""COMPUTED_VALUE"""),"Álvaro Sánchez Barrueco")</f>
        <v>Álvaro Sánchez Barrueco</v>
      </c>
      <c r="F68" s="7" t="str">
        <f ca="1">IFERROR(__xludf.DUMMYFUNCTION("""COMPUTED_VALUE"""),"LRM08")</f>
        <v>LRM08</v>
      </c>
      <c r="G68" s="7" t="str">
        <f ca="1">IFERROR(__xludf.DUMMYFUNCTION("""COMPUTED_VALUE"""),"Lisandro Russian")</f>
        <v>Lisandro Russian</v>
      </c>
      <c r="K68" s="25" t="s">
        <v>485</v>
      </c>
      <c r="L68" s="25" t="s">
        <v>486</v>
      </c>
      <c r="M68" s="25" t="s">
        <v>487</v>
      </c>
      <c r="R68" s="7"/>
    </row>
    <row r="69" spans="1:18">
      <c r="E69" s="7" t="str">
        <f ca="1">IFERROR(__xludf.DUMMYFUNCTION("""COMPUTED_VALUE"""),"Álvaro Sánchez de Arriba")</f>
        <v>Álvaro Sánchez de Arriba</v>
      </c>
      <c r="F69" s="7" t="str">
        <f ca="1">IFERROR(__xludf.DUMMYFUNCTION("""COMPUTED_VALUE"""),"LRM09")</f>
        <v>LRM09</v>
      </c>
      <c r="G69" s="7" t="str">
        <f ca="1">IFERROR(__xludf.DUMMYFUNCTION("""COMPUTED_VALUE"""),"Lisandro Russian")</f>
        <v>Lisandro Russian</v>
      </c>
      <c r="K69" s="25" t="s">
        <v>488</v>
      </c>
      <c r="L69" s="25" t="s">
        <v>489</v>
      </c>
      <c r="M69" s="25" t="s">
        <v>490</v>
      </c>
      <c r="R69" s="7"/>
    </row>
    <row r="70" spans="1:18">
      <c r="A70" s="58"/>
      <c r="B70" s="58"/>
      <c r="E70" s="7" t="str">
        <f ca="1">IFERROR(__xludf.DUMMYFUNCTION("""COMPUTED_VALUE"""),"Amalia Fiestas Tartiere")</f>
        <v>Amalia Fiestas Tartiere</v>
      </c>
      <c r="F70" s="7" t="str">
        <f ca="1">IFERROR(__xludf.DUMMYFUNCTION("""COMPUTED_VALUE"""),"MBM207")</f>
        <v>MBM207</v>
      </c>
      <c r="G70" s="7" t="str">
        <f ca="1">IFERROR(__xludf.DUMMYFUNCTION("""COMPUTED_VALUE"""),"Maika Blázquez")</f>
        <v>Maika Blázquez</v>
      </c>
      <c r="K70" s="25" t="s">
        <v>491</v>
      </c>
      <c r="L70" s="25" t="s">
        <v>492</v>
      </c>
      <c r="M70" s="25" t="s">
        <v>493</v>
      </c>
      <c r="R70" s="7"/>
    </row>
    <row r="71" spans="1:18">
      <c r="A71" s="65"/>
      <c r="B71" s="58"/>
      <c r="E71" s="7" t="str">
        <f ca="1">IFERROR(__xludf.DUMMYFUNCTION("""COMPUTED_VALUE"""),"Amaya Lázaro Sánchez")</f>
        <v>Amaya Lázaro Sánchez</v>
      </c>
      <c r="F71" s="7" t="str">
        <f ca="1">IFERROR(__xludf.DUMMYFUNCTION("""COMPUTED_VALUE"""),"MCC37")</f>
        <v>MCC37</v>
      </c>
      <c r="G71" s="7" t="str">
        <f ca="1">IFERROR(__xludf.DUMMYFUNCTION("""COMPUTED_VALUE"""),"Mercè Cabrera")</f>
        <v>Mercè Cabrera</v>
      </c>
      <c r="K71" s="25" t="s">
        <v>494</v>
      </c>
      <c r="L71" s="25" t="s">
        <v>495</v>
      </c>
      <c r="M71" s="25" t="s">
        <v>496</v>
      </c>
      <c r="R71" s="7"/>
    </row>
    <row r="72" spans="1:18">
      <c r="A72" s="66"/>
      <c r="B72" s="67"/>
      <c r="E72" s="7" t="str">
        <f ca="1">IFERROR(__xludf.DUMMYFUNCTION("""COMPUTED_VALUE"""),"Amer Souki Chmeitt")</f>
        <v>Amer Souki Chmeitt</v>
      </c>
      <c r="F72" s="7" t="str">
        <f ca="1">IFERROR(__xludf.DUMMYFUNCTION("""COMPUTED_VALUE"""),"RPG64")</f>
        <v>RPG64</v>
      </c>
      <c r="G72" s="7" t="str">
        <f ca="1">IFERROR(__xludf.DUMMYFUNCTION("""COMPUTED_VALUE"""),"Roberto Pereira")</f>
        <v>Roberto Pereira</v>
      </c>
      <c r="K72" s="25" t="s">
        <v>497</v>
      </c>
      <c r="L72" s="25" t="s">
        <v>498</v>
      </c>
      <c r="M72" s="25" t="s">
        <v>499</v>
      </c>
      <c r="R72" s="7"/>
    </row>
    <row r="73" spans="1:18">
      <c r="A73" s="60"/>
      <c r="B73" s="58"/>
      <c r="E73" s="7" t="str">
        <f ca="1">IFERROR(__xludf.DUMMYFUNCTION("""COMPUTED_VALUE"""),"Amparo Castellote Armero")</f>
        <v>Amparo Castellote Armero</v>
      </c>
      <c r="F73" s="7" t="str">
        <f ca="1">IFERROR(__xludf.DUMMYFUNCTION("""COMPUTED_VALUE"""),"LRM128")</f>
        <v>LRM128</v>
      </c>
      <c r="G73" s="7" t="str">
        <f ca="1">IFERROR(__xludf.DUMMYFUNCTION("""COMPUTED_VALUE"""),"Lisandro Russian")</f>
        <v>Lisandro Russian</v>
      </c>
      <c r="K73" s="25" t="s">
        <v>500</v>
      </c>
      <c r="L73" s="25" t="s">
        <v>501</v>
      </c>
      <c r="M73" s="25" t="s">
        <v>502</v>
      </c>
      <c r="R73" s="7"/>
    </row>
    <row r="74" spans="1:18">
      <c r="A74" s="65"/>
      <c r="B74" s="58"/>
      <c r="E74" s="7" t="str">
        <f ca="1">IFERROR(__xludf.DUMMYFUNCTION("""COMPUTED_VALUE"""),"Amparo Roca Martínez")</f>
        <v>Amparo Roca Martínez</v>
      </c>
      <c r="F74" s="7" t="str">
        <f ca="1">IFERROR(__xludf.DUMMYFUNCTION("""COMPUTED_VALUE"""),"ISL88")</f>
        <v>ISL88</v>
      </c>
      <c r="G74" s="7" t="str">
        <f ca="1">IFERROR(__xludf.DUMMYFUNCTION("""COMPUTED_VALUE"""),"Iván Sánchez")</f>
        <v>Iván Sánchez</v>
      </c>
      <c r="K74" s="25" t="s">
        <v>503</v>
      </c>
      <c r="L74" s="25" t="s">
        <v>501</v>
      </c>
      <c r="M74" s="25" t="s">
        <v>502</v>
      </c>
      <c r="R74" s="7"/>
    </row>
    <row r="75" spans="1:18">
      <c r="A75" s="65"/>
      <c r="B75" s="58"/>
      <c r="E75" s="7" t="str">
        <f ca="1">IFERROR(__xludf.DUMMYFUNCTION("""COMPUTED_VALUE"""),"Ana Belén Herrero Egea")</f>
        <v>Ana Belén Herrero Egea</v>
      </c>
      <c r="F75" s="7" t="str">
        <f ca="1">IFERROR(__xludf.DUMMYFUNCTION("""COMPUTED_VALUE"""),"LRM129")</f>
        <v>LRM129</v>
      </c>
      <c r="G75" s="7" t="str">
        <f ca="1">IFERROR(__xludf.DUMMYFUNCTION("""COMPUTED_VALUE"""),"Lisandro Russian")</f>
        <v>Lisandro Russian</v>
      </c>
      <c r="K75" s="68" t="s">
        <v>504</v>
      </c>
      <c r="L75" s="58" t="s">
        <v>505</v>
      </c>
      <c r="M75" s="58" t="s">
        <v>506</v>
      </c>
      <c r="R75" s="7"/>
    </row>
    <row r="76" spans="1:18">
      <c r="A76" s="65"/>
      <c r="B76" s="58"/>
      <c r="E76" s="7" t="str">
        <f ca="1">IFERROR(__xludf.DUMMYFUNCTION("""COMPUTED_VALUE"""),"Ana Belén Rodríguez Vences")</f>
        <v>Ana Belén Rodríguez Vences</v>
      </c>
      <c r="F76" s="7" t="str">
        <f ca="1">IFERROR(__xludf.DUMMYFUNCTION("""COMPUTED_VALUE"""),"LRM130")</f>
        <v>LRM130</v>
      </c>
      <c r="G76" s="7" t="str">
        <f ca="1">IFERROR(__xludf.DUMMYFUNCTION("""COMPUTED_VALUE"""),"Lisandro Russian")</f>
        <v>Lisandro Russian</v>
      </c>
      <c r="K76" s="68" t="s">
        <v>507</v>
      </c>
      <c r="L76" s="25" t="s">
        <v>508</v>
      </c>
      <c r="M76" s="58" t="s">
        <v>509</v>
      </c>
      <c r="N76" s="7" t="str">
        <f t="shared" ref="N76:N95" ca="1" si="0">VLOOKUP(K76,$E:$F,2,FALSE)</f>
        <v>MBM205</v>
      </c>
      <c r="R76" s="7"/>
    </row>
    <row r="77" spans="1:18">
      <c r="A77" s="60"/>
      <c r="B77" s="58"/>
      <c r="E77" s="7" t="str">
        <f ca="1">IFERROR(__xludf.DUMMYFUNCTION("""COMPUTED_VALUE"""),"Ana Faraldo García")</f>
        <v>Ana Faraldo García</v>
      </c>
      <c r="F77" s="7" t="str">
        <f ca="1">IFERROR(__xludf.DUMMYFUNCTION("""COMPUTED_VALUE"""),"RPG35")</f>
        <v>RPG35</v>
      </c>
      <c r="G77" s="7" t="str">
        <f ca="1">IFERROR(__xludf.DUMMYFUNCTION("""COMPUTED_VALUE"""),"Roberto Pereira")</f>
        <v>Roberto Pereira</v>
      </c>
      <c r="K77" s="68" t="s">
        <v>510</v>
      </c>
      <c r="L77" s="25" t="s">
        <v>508</v>
      </c>
      <c r="M77" s="58" t="s">
        <v>511</v>
      </c>
      <c r="N77" s="7" t="str">
        <f t="shared" ca="1" si="0"/>
        <v>MBM206</v>
      </c>
      <c r="R77" s="7"/>
    </row>
    <row r="78" spans="1:18">
      <c r="A78" s="60"/>
      <c r="B78" s="58"/>
      <c r="E78" s="7" t="str">
        <f ca="1">IFERROR(__xludf.DUMMYFUNCTION("""COMPUTED_VALUE"""),"Ana Fernández Rodríguez")</f>
        <v>Ana Fernández Rodríguez</v>
      </c>
      <c r="F78" s="7" t="str">
        <f ca="1">IFERROR(__xludf.DUMMYFUNCTION("""COMPUTED_VALUE"""),"PSC31")</f>
        <v>PSC31</v>
      </c>
      <c r="G78" s="7" t="str">
        <f ca="1">IFERROR(__xludf.DUMMYFUNCTION("""COMPUTED_VALUE"""),"Patricia Solache")</f>
        <v>Patricia Solache</v>
      </c>
      <c r="K78" s="68" t="s">
        <v>512</v>
      </c>
      <c r="L78" s="25" t="s">
        <v>508</v>
      </c>
      <c r="M78" s="58" t="s">
        <v>513</v>
      </c>
      <c r="N78" s="7" t="str">
        <f t="shared" ca="1" si="0"/>
        <v>MBM207</v>
      </c>
      <c r="R78" s="7"/>
    </row>
    <row r="79" spans="1:18">
      <c r="A79" s="60"/>
      <c r="B79" s="58"/>
      <c r="E79" s="7" t="str">
        <f ca="1">IFERROR(__xludf.DUMMYFUNCTION("""COMPUTED_VALUE"""),"Ana Gabriela Jover Espla")</f>
        <v>Ana Gabriela Jover Espla</v>
      </c>
      <c r="F79" s="7" t="str">
        <f ca="1">IFERROR(__xludf.DUMMYFUNCTION("""COMPUTED_VALUE"""),"ISL89")</f>
        <v>ISL89</v>
      </c>
      <c r="G79" s="7" t="str">
        <f ca="1">IFERROR(__xludf.DUMMYFUNCTION("""COMPUTED_VALUE"""),"Iván Sánchez")</f>
        <v>Iván Sánchez</v>
      </c>
      <c r="K79" s="68" t="s">
        <v>514</v>
      </c>
      <c r="L79" s="25" t="s">
        <v>508</v>
      </c>
      <c r="M79" s="58" t="s">
        <v>515</v>
      </c>
      <c r="N79" s="7" t="str">
        <f t="shared" ca="1" si="0"/>
        <v>MBM208</v>
      </c>
      <c r="R79" s="7"/>
    </row>
    <row r="80" spans="1:18">
      <c r="A80" s="60"/>
      <c r="B80" s="58"/>
      <c r="E80" s="7" t="str">
        <f ca="1">IFERROR(__xludf.DUMMYFUNCTION("""COMPUTED_VALUE"""),"Ana Giribet Fernández-Pacheco")</f>
        <v>Ana Giribet Fernández-Pacheco</v>
      </c>
      <c r="F80" s="7" t="str">
        <f ca="1">IFERROR(__xludf.DUMMYFUNCTION("""COMPUTED_VALUE"""),"ISL90")</f>
        <v>ISL90</v>
      </c>
      <c r="G80" s="7" t="str">
        <f ca="1">IFERROR(__xludf.DUMMYFUNCTION("""COMPUTED_VALUE"""),"Iván Sánchez")</f>
        <v>Iván Sánchez</v>
      </c>
      <c r="K80" s="68" t="s">
        <v>516</v>
      </c>
      <c r="L80" s="25" t="s">
        <v>508</v>
      </c>
      <c r="M80" s="58" t="s">
        <v>517</v>
      </c>
      <c r="N80" s="7" t="e">
        <f t="shared" ca="1" si="0"/>
        <v>#N/A</v>
      </c>
      <c r="R80" s="7"/>
    </row>
    <row r="81" spans="1:18">
      <c r="A81" s="60"/>
      <c r="B81" s="58"/>
      <c r="E81" s="7" t="str">
        <f ca="1">IFERROR(__xludf.DUMMYFUNCTION("""COMPUTED_VALUE"""),"Ana Herrero Egea")</f>
        <v>Ana Herrero Egea</v>
      </c>
      <c r="F81" s="7" t="str">
        <f ca="1">IFERROR(__xludf.DUMMYFUNCTION("""COMPUTED_VALUE"""),"LRM131")</f>
        <v>LRM131</v>
      </c>
      <c r="G81" s="7" t="str">
        <f ca="1">IFERROR(__xludf.DUMMYFUNCTION("""COMPUTED_VALUE"""),"Lisandro Russian")</f>
        <v>Lisandro Russian</v>
      </c>
      <c r="K81" s="68" t="s">
        <v>518</v>
      </c>
      <c r="L81" s="25" t="s">
        <v>508</v>
      </c>
      <c r="M81" s="58" t="s">
        <v>519</v>
      </c>
      <c r="N81" s="7" t="str">
        <f t="shared" ca="1" si="0"/>
        <v>LRM260</v>
      </c>
      <c r="R81" s="7"/>
    </row>
    <row r="82" spans="1:18">
      <c r="A82" s="66"/>
      <c r="B82" s="58"/>
      <c r="E82" s="7" t="str">
        <f ca="1">IFERROR(__xludf.DUMMYFUNCTION("""COMPUTED_VALUE"""),"Ana Isabel Lorenzo Lorenzo")</f>
        <v>Ana Isabel Lorenzo Lorenzo</v>
      </c>
      <c r="F82" s="7" t="str">
        <f ca="1">IFERROR(__xludf.DUMMYFUNCTION("""COMPUTED_VALUE"""),"RPG36")</f>
        <v>RPG36</v>
      </c>
      <c r="G82" s="7" t="str">
        <f ca="1">IFERROR(__xludf.DUMMYFUNCTION("""COMPUTED_VALUE"""),"Roberto Pereira")</f>
        <v>Roberto Pereira</v>
      </c>
      <c r="K82" s="68" t="s">
        <v>520</v>
      </c>
      <c r="L82" s="25" t="s">
        <v>508</v>
      </c>
      <c r="M82" s="58" t="s">
        <v>521</v>
      </c>
      <c r="N82" s="7" t="str">
        <f t="shared" ca="1" si="0"/>
        <v>MBM210</v>
      </c>
      <c r="R82" s="7"/>
    </row>
    <row r="83" spans="1:18">
      <c r="A83" s="66"/>
      <c r="B83" s="58"/>
      <c r="E83" s="7" t="str">
        <f ca="1">IFERROR(__xludf.DUMMYFUNCTION("""COMPUTED_VALUE"""),"Ana María Sánchez-Prieto Fernández")</f>
        <v>Ana María Sánchez-Prieto Fernández</v>
      </c>
      <c r="F83" s="7" t="str">
        <f ca="1">IFERROR(__xludf.DUMMYFUNCTION("""COMPUTED_VALUE"""),"LRM132")</f>
        <v>LRM132</v>
      </c>
      <c r="G83" s="7" t="str">
        <f ca="1">IFERROR(__xludf.DUMMYFUNCTION("""COMPUTED_VALUE"""),"Lisandro Russian")</f>
        <v>Lisandro Russian</v>
      </c>
      <c r="K83" s="68" t="s">
        <v>522</v>
      </c>
      <c r="L83" s="25" t="s">
        <v>508</v>
      </c>
      <c r="M83" s="58" t="s">
        <v>523</v>
      </c>
      <c r="N83" s="7" t="e">
        <f t="shared" ca="1" si="0"/>
        <v>#N/A</v>
      </c>
      <c r="R83" s="7"/>
    </row>
    <row r="84" spans="1:18">
      <c r="A84" s="27"/>
      <c r="E84" s="7" t="str">
        <f ca="1">IFERROR(__xludf.DUMMYFUNCTION("""COMPUTED_VALUE"""),"Ana Moreno Valor")</f>
        <v>Ana Moreno Valor</v>
      </c>
      <c r="F84" s="7" t="str">
        <f ca="1">IFERROR(__xludf.DUMMYFUNCTION("""COMPUTED_VALUE"""),"MCC38")</f>
        <v>MCC38</v>
      </c>
      <c r="G84" s="7" t="str">
        <f ca="1">IFERROR(__xludf.DUMMYFUNCTION("""COMPUTED_VALUE"""),"Mercè Cabrera")</f>
        <v>Mercè Cabrera</v>
      </c>
      <c r="K84" s="68" t="s">
        <v>524</v>
      </c>
      <c r="L84" s="68" t="s">
        <v>524</v>
      </c>
      <c r="M84" s="58" t="s">
        <v>525</v>
      </c>
      <c r="N84" s="7" t="str">
        <f t="shared" ca="1" si="0"/>
        <v>MBM100</v>
      </c>
      <c r="R84" s="7"/>
    </row>
    <row r="85" spans="1:18">
      <c r="A85" s="27"/>
      <c r="E85" s="7" t="str">
        <f ca="1">IFERROR(__xludf.DUMMYFUNCTION("""COMPUTED_VALUE"""),"Ana Pérez del Notario")</f>
        <v>Ana Pérez del Notario</v>
      </c>
      <c r="F85" s="7" t="str">
        <f ca="1">IFERROR(__xludf.DUMMYFUNCTION("""COMPUTED_VALUE"""),"LRM133")</f>
        <v>LRM133</v>
      </c>
      <c r="G85" s="7" t="str">
        <f ca="1">IFERROR(__xludf.DUMMYFUNCTION("""COMPUTED_VALUE"""),"Lisandro Russian")</f>
        <v>Lisandro Russian</v>
      </c>
      <c r="K85" s="68" t="s">
        <v>526</v>
      </c>
      <c r="L85" s="25" t="s">
        <v>508</v>
      </c>
      <c r="M85" s="58" t="s">
        <v>527</v>
      </c>
      <c r="N85" s="7" t="str">
        <f t="shared" ca="1" si="0"/>
        <v>MBM212</v>
      </c>
      <c r="R85" s="7"/>
    </row>
    <row r="86" spans="1:18">
      <c r="A86" s="27"/>
      <c r="E86" s="7" t="str">
        <f ca="1">IFERROR(__xludf.DUMMYFUNCTION("""COMPUTED_VALUE"""),"Ana Quintana Sanjuan")</f>
        <v>Ana Quintana Sanjuan</v>
      </c>
      <c r="F86" s="7" t="str">
        <f ca="1">IFERROR(__xludf.DUMMYFUNCTION("""COMPUTED_VALUE"""),"RPG37")</f>
        <v>RPG37</v>
      </c>
      <c r="G86" s="7" t="str">
        <f ca="1">IFERROR(__xludf.DUMMYFUNCTION("""COMPUTED_VALUE"""),"Roberto Pereira")</f>
        <v>Roberto Pereira</v>
      </c>
      <c r="K86" s="68" t="s">
        <v>528</v>
      </c>
      <c r="L86" s="25" t="s">
        <v>508</v>
      </c>
      <c r="M86" s="58" t="s">
        <v>529</v>
      </c>
      <c r="N86" s="7" t="e">
        <f t="shared" ca="1" si="0"/>
        <v>#N/A</v>
      </c>
      <c r="R86" s="7"/>
    </row>
    <row r="87" spans="1:18">
      <c r="A87" s="57"/>
      <c r="B87" s="58"/>
      <c r="E87" s="7" t="str">
        <f ca="1">IFERROR(__xludf.DUMMYFUNCTION("""COMPUTED_VALUE"""),"Ana Rodríguez Rodríguez")</f>
        <v>Ana Rodríguez Rodríguez</v>
      </c>
      <c r="F87" s="7" t="str">
        <f ca="1">IFERROR(__xludf.DUMMYFUNCTION("""COMPUTED_VALUE"""),"MCC62")</f>
        <v>MCC62</v>
      </c>
      <c r="G87" s="7" t="str">
        <f ca="1">IFERROR(__xludf.DUMMYFUNCTION("""COMPUTED_VALUE"""),"Mercè Cabrera")</f>
        <v>Mercè Cabrera</v>
      </c>
      <c r="K87" s="68" t="s">
        <v>530</v>
      </c>
      <c r="L87" s="25" t="s">
        <v>508</v>
      </c>
      <c r="M87" s="58" t="s">
        <v>531</v>
      </c>
      <c r="N87" s="7" t="str">
        <f t="shared" ca="1" si="0"/>
        <v>MBM213</v>
      </c>
      <c r="R87" s="7"/>
    </row>
    <row r="88" spans="1:18">
      <c r="A88" s="57"/>
      <c r="B88" s="58"/>
      <c r="E88" s="7" t="str">
        <f ca="1">IFERROR(__xludf.DUMMYFUNCTION("""COMPUTED_VALUE"""),"Ana Ruiz Fornells Noreña")</f>
        <v>Ana Ruiz Fornells Noreña</v>
      </c>
      <c r="F88" s="7" t="str">
        <f ca="1">IFERROR(__xludf.DUMMYFUNCTION("""COMPUTED_VALUE"""),"MBM90")</f>
        <v>MBM90</v>
      </c>
      <c r="G88" s="7" t="str">
        <f ca="1">IFERROR(__xludf.DUMMYFUNCTION("""COMPUTED_VALUE"""),"Maika Blázquez")</f>
        <v>Maika Blázquez</v>
      </c>
      <c r="K88" s="68" t="s">
        <v>532</v>
      </c>
      <c r="L88" s="25" t="s">
        <v>508</v>
      </c>
      <c r="M88" s="58" t="s">
        <v>533</v>
      </c>
      <c r="N88" s="7" t="str">
        <f t="shared" ca="1" si="0"/>
        <v>MBM214</v>
      </c>
      <c r="R88" s="7"/>
    </row>
    <row r="89" spans="1:18">
      <c r="E89" s="7" t="str">
        <f ca="1">IFERROR(__xludf.DUMMYFUNCTION("""COMPUTED_VALUE"""),"Ana Solís Fesser")</f>
        <v>Ana Solís Fesser</v>
      </c>
      <c r="F89" s="7" t="str">
        <f ca="1">IFERROR(__xludf.DUMMYFUNCTION("""COMPUTED_VALUE"""),"MBM208")</f>
        <v>MBM208</v>
      </c>
      <c r="G89" s="7" t="str">
        <f ca="1">IFERROR(__xludf.DUMMYFUNCTION("""COMPUTED_VALUE"""),"Maika Blázquez")</f>
        <v>Maika Blázquez</v>
      </c>
      <c r="K89" s="68" t="s">
        <v>534</v>
      </c>
      <c r="L89" s="25" t="s">
        <v>508</v>
      </c>
      <c r="M89" s="58" t="s">
        <v>535</v>
      </c>
      <c r="N89" s="7" t="str">
        <f t="shared" ca="1" si="0"/>
        <v>MBM215</v>
      </c>
      <c r="R89" s="7"/>
    </row>
    <row r="90" spans="1:18">
      <c r="E90" s="7" t="str">
        <f ca="1">IFERROR(__xludf.DUMMYFUNCTION("""COMPUTED_VALUE"""),"Anastasiya Audiyuk Martynyuk")</f>
        <v>Anastasiya Audiyuk Martynyuk</v>
      </c>
      <c r="F90" s="7" t="str">
        <f ca="1">IFERROR(__xludf.DUMMYFUNCTION("""COMPUTED_VALUE"""),"MBM195")</f>
        <v>MBM195</v>
      </c>
      <c r="G90" s="7" t="str">
        <f ca="1">IFERROR(__xludf.DUMMYFUNCTION("""COMPUTED_VALUE"""),"Maika Blázquez")</f>
        <v>Maika Blázquez</v>
      </c>
      <c r="K90" s="68" t="s">
        <v>536</v>
      </c>
      <c r="L90" s="25" t="s">
        <v>508</v>
      </c>
      <c r="M90" s="58" t="s">
        <v>537</v>
      </c>
      <c r="N90" s="7" t="str">
        <f t="shared" ca="1" si="0"/>
        <v>MBM216</v>
      </c>
      <c r="R90" s="7"/>
    </row>
    <row r="91" spans="1:18">
      <c r="E91" s="7" t="str">
        <f ca="1">IFERROR(__xludf.DUMMYFUNCTION("""COMPUTED_VALUE"""),"Andrea Cifuentes Navas")</f>
        <v>Andrea Cifuentes Navas</v>
      </c>
      <c r="F91" s="7" t="str">
        <f ca="1">IFERROR(__xludf.DUMMYFUNCTION("""COMPUTED_VALUE"""),"LRM258")</f>
        <v>LRM258</v>
      </c>
      <c r="G91" s="7" t="str">
        <f ca="1">IFERROR(__xludf.DUMMYFUNCTION("""COMPUTED_VALUE"""),"Lisandro Russian")</f>
        <v>Lisandro Russian</v>
      </c>
      <c r="K91" s="68" t="s">
        <v>538</v>
      </c>
      <c r="L91" s="25" t="s">
        <v>508</v>
      </c>
      <c r="M91" s="58" t="s">
        <v>539</v>
      </c>
      <c r="N91" s="7" t="str">
        <f t="shared" ca="1" si="0"/>
        <v>MBM217</v>
      </c>
      <c r="R91" s="7"/>
    </row>
    <row r="92" spans="1:18">
      <c r="E92" s="7" t="str">
        <f ca="1">IFERROR(__xludf.DUMMYFUNCTION("""COMPUTED_VALUE"""),"Andrea Escribano Peñalva")</f>
        <v>Andrea Escribano Peñalva</v>
      </c>
      <c r="F92" s="7" t="str">
        <f ca="1">IFERROR(__xludf.DUMMYFUNCTION("""COMPUTED_VALUE"""),"LRM135")</f>
        <v>LRM135</v>
      </c>
      <c r="G92" s="7" t="str">
        <f ca="1">IFERROR(__xludf.DUMMYFUNCTION("""COMPUTED_VALUE"""),"Lisandro Russian")</f>
        <v>Lisandro Russian</v>
      </c>
      <c r="K92" s="68" t="s">
        <v>540</v>
      </c>
      <c r="L92" s="25" t="s">
        <v>508</v>
      </c>
      <c r="M92" s="58" t="s">
        <v>541</v>
      </c>
      <c r="N92" s="7" t="str">
        <f t="shared" ca="1" si="0"/>
        <v>RFV46</v>
      </c>
      <c r="R92" s="7"/>
    </row>
    <row r="93" spans="1:18">
      <c r="E93" s="7" t="str">
        <f ca="1">IFERROR(__xludf.DUMMYFUNCTION("""COMPUTED_VALUE"""),"Andrea Gil Pro")</f>
        <v>Andrea Gil Pro</v>
      </c>
      <c r="F93" s="7" t="str">
        <f ca="1">IFERROR(__xludf.DUMMYFUNCTION("""COMPUTED_VALUE"""),"MBM209")</f>
        <v>MBM209</v>
      </c>
      <c r="G93" s="7" t="str">
        <f ca="1">IFERROR(__xludf.DUMMYFUNCTION("""COMPUTED_VALUE"""),"Maika Blázquez")</f>
        <v>Maika Blázquez</v>
      </c>
      <c r="K93" s="68" t="s">
        <v>542</v>
      </c>
      <c r="L93" s="25" t="s">
        <v>508</v>
      </c>
      <c r="M93" s="58" t="s">
        <v>543</v>
      </c>
      <c r="N93" s="7" t="str">
        <f t="shared" ca="1" si="0"/>
        <v>ISL147</v>
      </c>
      <c r="R93" s="7"/>
    </row>
    <row r="94" spans="1:18">
      <c r="E94" s="7" t="str">
        <f ca="1">IFERROR(__xludf.DUMMYFUNCTION("""COMPUTED_VALUE"""),"Andrea López Salcedo")</f>
        <v>Andrea López Salcedo</v>
      </c>
      <c r="F94" s="7" t="str">
        <f ca="1">IFERROR(__xludf.DUMMYFUNCTION("""COMPUTED_VALUE"""),"MBM91")</f>
        <v>MBM91</v>
      </c>
      <c r="G94" s="7" t="str">
        <f ca="1">IFERROR(__xludf.DUMMYFUNCTION("""COMPUTED_VALUE"""),"Maika Blázquez")</f>
        <v>Maika Blázquez</v>
      </c>
      <c r="K94" s="68" t="s">
        <v>544</v>
      </c>
      <c r="L94" s="25" t="s">
        <v>508</v>
      </c>
      <c r="M94" s="58" t="s">
        <v>545</v>
      </c>
      <c r="N94" s="7" t="str">
        <f t="shared" ca="1" si="0"/>
        <v>MBM218</v>
      </c>
      <c r="R94" s="7"/>
    </row>
    <row r="95" spans="1:18">
      <c r="E95" s="7" t="str">
        <f ca="1">IFERROR(__xludf.DUMMYFUNCTION("""COMPUTED_VALUE"""),"Andreas Schilling Borghesi")</f>
        <v>Andreas Schilling Borghesi</v>
      </c>
      <c r="F95" s="7" t="str">
        <f ca="1">IFERROR(__xludf.DUMMYFUNCTION("""COMPUTED_VALUE"""),"MBM07")</f>
        <v>MBM07</v>
      </c>
      <c r="G95" s="7" t="str">
        <f ca="1">IFERROR(__xludf.DUMMYFUNCTION("""COMPUTED_VALUE"""),"Maika Blázquez")</f>
        <v>Maika Blázquez</v>
      </c>
      <c r="K95" s="68" t="s">
        <v>546</v>
      </c>
      <c r="L95" s="25" t="s">
        <v>508</v>
      </c>
      <c r="M95" s="58" t="s">
        <v>547</v>
      </c>
      <c r="N95" s="7" t="str">
        <f t="shared" ca="1" si="0"/>
        <v>MBM219</v>
      </c>
      <c r="R95" s="7"/>
    </row>
    <row r="96" spans="1:18">
      <c r="E96" s="7" t="str">
        <f ca="1">IFERROR(__xludf.DUMMYFUNCTION("""COMPUTED_VALUE"""),"Andrés Barrios Recio")</f>
        <v>Andrés Barrios Recio</v>
      </c>
      <c r="F96" s="7" t="str">
        <f ca="1">IFERROR(__xludf.DUMMYFUNCTION("""COMPUTED_VALUE"""),"ISL06")</f>
        <v>ISL06</v>
      </c>
      <c r="G96" s="7" t="str">
        <f ca="1">IFERROR(__xludf.DUMMYFUNCTION("""COMPUTED_VALUE"""),"Iván Sánchez")</f>
        <v>Iván Sánchez</v>
      </c>
      <c r="K96" s="25" t="s">
        <v>548</v>
      </c>
      <c r="L96" s="25" t="s">
        <v>549</v>
      </c>
      <c r="M96" s="25" t="s">
        <v>550</v>
      </c>
      <c r="R96" s="7"/>
    </row>
    <row r="97" spans="5:18">
      <c r="E97" s="7" t="str">
        <f ca="1">IFERROR(__xludf.DUMMYFUNCTION("""COMPUTED_VALUE"""),"Andrés González Fernández")</f>
        <v>Andrés González Fernández</v>
      </c>
      <c r="F97" s="7" t="str">
        <f ca="1">IFERROR(__xludf.DUMMYFUNCTION("""COMPUTED_VALUE"""),"LRM271")</f>
        <v>LRM271</v>
      </c>
      <c r="G97" s="7" t="str">
        <f ca="1">IFERROR(__xludf.DUMMYFUNCTION("""COMPUTED_VALUE"""),"Lisandro Russian")</f>
        <v>Lisandro Russian</v>
      </c>
      <c r="K97" s="25" t="s">
        <v>551</v>
      </c>
      <c r="L97" s="25" t="s">
        <v>552</v>
      </c>
      <c r="M97" s="25" t="s">
        <v>553</v>
      </c>
      <c r="R97" s="7"/>
    </row>
    <row r="98" spans="5:18">
      <c r="E98" s="7" t="str">
        <f ca="1">IFERROR(__xludf.DUMMYFUNCTION("""COMPUTED_VALUE"""),"Andrés Paulino Herrera")</f>
        <v>Andrés Paulino Herrera</v>
      </c>
      <c r="F98" s="7" t="str">
        <f ca="1">IFERROR(__xludf.DUMMYFUNCTION("""COMPUTED_VALUE"""),"LRM240")</f>
        <v>LRM240</v>
      </c>
      <c r="G98" s="7" t="str">
        <f ca="1">IFERROR(__xludf.DUMMYFUNCTION("""COMPUTED_VALUE"""),"Lisandro Russian")</f>
        <v>Lisandro Russian</v>
      </c>
      <c r="K98" s="25" t="s">
        <v>554</v>
      </c>
      <c r="L98" s="25" t="s">
        <v>555</v>
      </c>
      <c r="M98" s="25" t="s">
        <v>556</v>
      </c>
      <c r="R98" s="7"/>
    </row>
    <row r="99" spans="5:18">
      <c r="E99" s="7" t="str">
        <f ca="1">IFERROR(__xludf.DUMMYFUNCTION("""COMPUTED_VALUE"""),"Andrés Ruiz Moreno")</f>
        <v>Andrés Ruiz Moreno</v>
      </c>
      <c r="F99" s="7" t="str">
        <f ca="1">IFERROR(__xludf.DUMMYFUNCTION("""COMPUTED_VALUE"""),"LAA01")</f>
        <v>LAA01</v>
      </c>
      <c r="G99" s="7" t="str">
        <f ca="1">IFERROR(__xludf.DUMMYFUNCTION("""COMPUTED_VALUE"""),"Luis Alberto Rodríguez")</f>
        <v>Luis Alberto Rodríguez</v>
      </c>
      <c r="K99" s="25" t="s">
        <v>557</v>
      </c>
      <c r="L99" s="25" t="s">
        <v>555</v>
      </c>
      <c r="M99" s="25" t="s">
        <v>556</v>
      </c>
      <c r="R99" s="7"/>
    </row>
    <row r="100" spans="5:18">
      <c r="E100" s="7" t="str">
        <f ca="1">IFERROR(__xludf.DUMMYFUNCTION("""COMPUTED_VALUE"""),"Andrés Soto Varela")</f>
        <v>Andrés Soto Varela</v>
      </c>
      <c r="F100" s="7" t="str">
        <f ca="1">IFERROR(__xludf.DUMMYFUNCTION("""COMPUTED_VALUE"""),"RPG02")</f>
        <v>RPG02</v>
      </c>
      <c r="G100" s="7" t="str">
        <f ca="1">IFERROR(__xludf.DUMMYFUNCTION("""COMPUTED_VALUE"""),"Roberto Pereira")</f>
        <v>Roberto Pereira</v>
      </c>
      <c r="K100" s="25" t="s">
        <v>558</v>
      </c>
      <c r="L100" s="25" t="s">
        <v>559</v>
      </c>
      <c r="M100" s="25" t="s">
        <v>560</v>
      </c>
      <c r="R100" s="7"/>
    </row>
    <row r="101" spans="5:18">
      <c r="E101" s="7" t="str">
        <f ca="1">IFERROR(__xludf.DUMMYFUNCTION("""COMPUTED_VALUE"""),"Ángel Ángel de Miguel")</f>
        <v>Ángel Ángel de Miguel</v>
      </c>
      <c r="F101" s="7" t="str">
        <f ca="1">IFERROR(__xludf.DUMMYFUNCTION("""COMPUTED_VALUE"""),"RFV45")</f>
        <v>RFV45</v>
      </c>
      <c r="G101" s="7" t="str">
        <f ca="1">IFERROR(__xludf.DUMMYFUNCTION("""COMPUTED_VALUE"""),"Ramon Ferrando")</f>
        <v>Ramon Ferrando</v>
      </c>
      <c r="K101" s="25" t="s">
        <v>561</v>
      </c>
      <c r="L101" s="25" t="s">
        <v>559</v>
      </c>
      <c r="M101" s="25" t="s">
        <v>560</v>
      </c>
      <c r="R101" s="7"/>
    </row>
    <row r="102" spans="5:18">
      <c r="E102" s="7" t="str">
        <f ca="1">IFERROR(__xludf.DUMMYFUNCTION("""COMPUTED_VALUE"""),"Ángel Batuecas Caletrío")</f>
        <v>Ángel Batuecas Caletrío</v>
      </c>
      <c r="F102" s="7" t="str">
        <f ca="1">IFERROR(__xludf.DUMMYFUNCTION("""COMPUTED_VALUE"""),"PSC01")</f>
        <v>PSC01</v>
      </c>
      <c r="G102" s="7" t="str">
        <f ca="1">IFERROR(__xludf.DUMMYFUNCTION("""COMPUTED_VALUE"""),"Patricia Solache")</f>
        <v>Patricia Solache</v>
      </c>
      <c r="K102" s="25" t="s">
        <v>562</v>
      </c>
      <c r="L102" s="25" t="s">
        <v>563</v>
      </c>
      <c r="M102" s="25" t="s">
        <v>564</v>
      </c>
      <c r="R102" s="7"/>
    </row>
    <row r="103" spans="5:18">
      <c r="E103" s="7" t="str">
        <f ca="1">IFERROR(__xludf.DUMMYFUNCTION("""COMPUTED_VALUE"""),"Ángel De Juan")</f>
        <v>Ángel De Juan</v>
      </c>
      <c r="F103" s="7" t="str">
        <f ca="1">IFERROR(__xludf.DUMMYFUNCTION("""COMPUTED_VALUE"""),"AMM02")</f>
        <v>AMM02</v>
      </c>
      <c r="G103" s="7" t="str">
        <f ca="1">IFERROR(__xludf.DUMMYFUNCTION("""COMPUTED_VALUE"""),"Alberto Moreno")</f>
        <v>Alberto Moreno</v>
      </c>
      <c r="K103" s="25" t="s">
        <v>565</v>
      </c>
      <c r="L103" s="25" t="s">
        <v>566</v>
      </c>
      <c r="M103" s="25" t="s">
        <v>567</v>
      </c>
      <c r="R103" s="7"/>
    </row>
    <row r="104" spans="5:18">
      <c r="E104" s="7" t="str">
        <f ca="1">IFERROR(__xludf.DUMMYFUNCTION("""COMPUTED_VALUE"""),"Angel Fernando Rodriguez Paramás")</f>
        <v>Angel Fernando Rodriguez Paramás</v>
      </c>
      <c r="F104" s="7" t="str">
        <f ca="1">IFERROR(__xludf.DUMMYFUNCTION("""COMPUTED_VALUE"""),"LRM10")</f>
        <v>LRM10</v>
      </c>
      <c r="G104" s="7" t="str">
        <f ca="1">IFERROR(__xludf.DUMMYFUNCTION("""COMPUTED_VALUE"""),"Lisandro Russian")</f>
        <v>Lisandro Russian</v>
      </c>
      <c r="K104" s="25" t="s">
        <v>568</v>
      </c>
      <c r="L104" s="25" t="s">
        <v>569</v>
      </c>
      <c r="M104" s="25" t="s">
        <v>570</v>
      </c>
      <c r="R104" s="7"/>
    </row>
    <row r="105" spans="5:18">
      <c r="E105" s="7" t="str">
        <f ca="1">IFERROR(__xludf.DUMMYFUNCTION("""COMPUTED_VALUE"""),"Ángel Miguel Urpegui García")</f>
        <v>Ángel Miguel Urpegui García</v>
      </c>
      <c r="F105" s="7" t="str">
        <f ca="1">IFERROR(__xludf.DUMMYFUNCTION("""COMPUTED_VALUE"""),"LRM11")</f>
        <v>LRM11</v>
      </c>
      <c r="G105" s="7" t="str">
        <f ca="1">IFERROR(__xludf.DUMMYFUNCTION("""COMPUTED_VALUE"""),"Lisandro Russian")</f>
        <v>Lisandro Russian</v>
      </c>
      <c r="K105" s="25" t="s">
        <v>571</v>
      </c>
      <c r="L105" s="25" t="s">
        <v>572</v>
      </c>
      <c r="M105" s="25" t="s">
        <v>573</v>
      </c>
      <c r="R105" s="7"/>
    </row>
    <row r="106" spans="5:18">
      <c r="E106" s="7" t="str">
        <f ca="1">IFERROR(__xludf.DUMMYFUNCTION("""COMPUTED_VALUE"""),"Ángel Muñoz Herrera")</f>
        <v>Ángel Muñoz Herrera</v>
      </c>
      <c r="F106" s="7" t="str">
        <f ca="1">IFERROR(__xludf.DUMMYFUNCTION("""COMPUTED_VALUE"""),"PSC02")</f>
        <v>PSC02</v>
      </c>
      <c r="G106" s="7" t="str">
        <f ca="1">IFERROR(__xludf.DUMMYFUNCTION("""COMPUTED_VALUE"""),"Patricia Solache")</f>
        <v>Patricia Solache</v>
      </c>
      <c r="K106" s="25" t="s">
        <v>574</v>
      </c>
      <c r="L106" s="25" t="s">
        <v>575</v>
      </c>
      <c r="M106" s="25" t="s">
        <v>576</v>
      </c>
      <c r="R106" s="7"/>
    </row>
    <row r="107" spans="5:18">
      <c r="E107" s="7" t="str">
        <f ca="1">IFERROR(__xludf.DUMMYFUNCTION("""COMPUTED_VALUE"""),"Ángel Onofre Pérez Coll")</f>
        <v>Ángel Onofre Pérez Coll</v>
      </c>
      <c r="F107" s="7" t="str">
        <f ca="1">IFERROR(__xludf.DUMMYFUNCTION("""COMPUTED_VALUE"""),"ISL149")</f>
        <v>ISL149</v>
      </c>
      <c r="G107" s="7" t="str">
        <f ca="1">IFERROR(__xludf.DUMMYFUNCTION("""COMPUTED_VALUE"""),"Iván Sánchez")</f>
        <v>Iván Sánchez</v>
      </c>
      <c r="K107" s="25" t="s">
        <v>577</v>
      </c>
      <c r="L107" s="69" t="s">
        <v>495</v>
      </c>
      <c r="M107" s="69" t="s">
        <v>578</v>
      </c>
      <c r="R107" s="7"/>
    </row>
    <row r="108" spans="5:18">
      <c r="E108" s="7" t="str">
        <f ca="1">IFERROR(__xludf.DUMMYFUNCTION("""COMPUTED_VALUE"""),"Ángel Rodríguez Paramás")</f>
        <v>Ángel Rodríguez Paramás</v>
      </c>
      <c r="F108" s="7" t="str">
        <f ca="1">IFERROR(__xludf.DUMMYFUNCTION("""COMPUTED_VALUE"""),"LRM12")</f>
        <v>LRM12</v>
      </c>
      <c r="G108" s="7" t="str">
        <f ca="1">IFERROR(__xludf.DUMMYFUNCTION("""COMPUTED_VALUE"""),"Lisandro Russian")</f>
        <v>Lisandro Russian</v>
      </c>
      <c r="K108" s="7" t="s">
        <v>579</v>
      </c>
      <c r="L108" s="7" t="s">
        <v>234</v>
      </c>
      <c r="M108" s="7" t="s">
        <v>235</v>
      </c>
      <c r="R108" s="7"/>
    </row>
    <row r="109" spans="5:18">
      <c r="E109" s="7" t="str">
        <f ca="1">IFERROR(__xludf.DUMMYFUNCTION("""COMPUTED_VALUE"""),"Angela Castro Millos")</f>
        <v>Angela Castro Millos</v>
      </c>
      <c r="F109" s="7" t="str">
        <f ca="1">IFERROR(__xludf.DUMMYFUNCTION("""COMPUTED_VALUE"""),"RPG38")</f>
        <v>RPG38</v>
      </c>
      <c r="G109" s="7" t="str">
        <f ca="1">IFERROR(__xludf.DUMMYFUNCTION("""COMPUTED_VALUE"""),"Roberto Pereira")</f>
        <v>Roberto Pereira</v>
      </c>
      <c r="K109" s="7" t="s">
        <v>580</v>
      </c>
      <c r="R109" s="7"/>
    </row>
    <row r="110" spans="5:18">
      <c r="E110" s="7" t="str">
        <f ca="1">IFERROR(__xludf.DUMMYFUNCTION("""COMPUTED_VALUE"""),"Angela Enterría González")</f>
        <v>Angela Enterría González</v>
      </c>
      <c r="F110" s="7" t="str">
        <f ca="1">IFERROR(__xludf.DUMMYFUNCTION("""COMPUTED_VALUE"""),"PSC32")</f>
        <v>PSC32</v>
      </c>
      <c r="G110" s="7" t="str">
        <f ca="1">IFERROR(__xludf.DUMMYFUNCTION("""COMPUTED_VALUE"""),"Patricia Solache")</f>
        <v>Patricia Solache</v>
      </c>
      <c r="K110" s="25" t="s">
        <v>581</v>
      </c>
      <c r="L110" s="25" t="s">
        <v>508</v>
      </c>
      <c r="M110" s="58" t="s">
        <v>582</v>
      </c>
      <c r="N110" s="7" t="e">
        <f ca="1">VLOOKUP(K110,$E:$F,2,FALSE)</f>
        <v>#N/A</v>
      </c>
      <c r="R110" s="7"/>
    </row>
    <row r="111" spans="5:18">
      <c r="E111" s="7" t="str">
        <f ca="1">IFERROR(__xludf.DUMMYFUNCTION("""COMPUTED_VALUE"""),"Ángeles Díaz Díaz")</f>
        <v>Ángeles Díaz Díaz</v>
      </c>
      <c r="F111" s="7" t="str">
        <f ca="1">IFERROR(__xludf.DUMMYFUNCTION("""COMPUTED_VALUE"""),"MBM92")</f>
        <v>MBM92</v>
      </c>
      <c r="G111" s="7" t="str">
        <f ca="1">IFERROR(__xludf.DUMMYFUNCTION("""COMPUTED_VALUE"""),"Maika Blázquez")</f>
        <v>Maika Blázquez</v>
      </c>
      <c r="K111" s="25"/>
      <c r="L111" s="25"/>
      <c r="M111" s="25"/>
      <c r="R111" s="7"/>
    </row>
    <row r="112" spans="5:18">
      <c r="E112" s="7" t="str">
        <f ca="1">IFERROR(__xludf.DUMMYFUNCTION("""COMPUTED_VALUE"""),"Anna Mateo Montfort")</f>
        <v>Anna Mateo Montfort</v>
      </c>
      <c r="F112" s="7" t="str">
        <f ca="1">IFERROR(__xludf.DUMMYFUNCTION("""COMPUTED_VALUE"""),"MCC66")</f>
        <v>MCC66</v>
      </c>
      <c r="G112" s="7" t="str">
        <f ca="1">IFERROR(__xludf.DUMMYFUNCTION("""COMPUTED_VALUE"""),"Mercè Cabrera")</f>
        <v>Mercè Cabrera</v>
      </c>
      <c r="K112" s="25"/>
      <c r="L112" s="25"/>
      <c r="M112" s="25"/>
      <c r="R112" s="7"/>
    </row>
    <row r="113" spans="5:18">
      <c r="E113" s="7" t="str">
        <f ca="1">IFERROR(__xludf.DUMMYFUNCTION("""COMPUTED_VALUE"""),"Anna Penella Prat")</f>
        <v>Anna Penella Prat</v>
      </c>
      <c r="F113" s="7" t="str">
        <f ca="1">IFERROR(__xludf.DUMMYFUNCTION("""COMPUTED_VALUE"""),"MCC39")</f>
        <v>MCC39</v>
      </c>
      <c r="G113" s="7" t="str">
        <f ca="1">IFERROR(__xludf.DUMMYFUNCTION("""COMPUTED_VALUE"""),"Mercè Cabrera")</f>
        <v>Mercè Cabrera</v>
      </c>
      <c r="K113" s="25"/>
      <c r="L113" s="25"/>
      <c r="M113" s="25"/>
      <c r="R113" s="7"/>
    </row>
    <row r="114" spans="5:18">
      <c r="E114" s="7" t="str">
        <f ca="1">IFERROR(__xludf.DUMMYFUNCTION("""COMPUTED_VALUE"""),"Anna Sumarroca Trouboul")</f>
        <v>Anna Sumarroca Trouboul</v>
      </c>
      <c r="F114" s="7" t="str">
        <f ca="1">IFERROR(__xludf.DUMMYFUNCTION("""COMPUTED_VALUE"""),"MCC40")</f>
        <v>MCC40</v>
      </c>
      <c r="G114" s="7" t="str">
        <f ca="1">IFERROR(__xludf.DUMMYFUNCTION("""COMPUTED_VALUE"""),"Mercè Cabrera")</f>
        <v>Mercè Cabrera</v>
      </c>
      <c r="K114" s="25"/>
      <c r="L114" s="25"/>
      <c r="M114" s="25"/>
      <c r="R114" s="7"/>
    </row>
    <row r="115" spans="5:18">
      <c r="E115" s="7" t="str">
        <f ca="1">IFERROR(__xludf.DUMMYFUNCTION("""COMPUTED_VALUE"""),"Anselmo Padín Seara")</f>
        <v>Anselmo Padín Seara</v>
      </c>
      <c r="F115" s="7" t="str">
        <f ca="1">IFERROR(__xludf.DUMMYFUNCTION("""COMPUTED_VALUE"""),"RPG03")</f>
        <v>RPG03</v>
      </c>
      <c r="G115" s="7" t="str">
        <f ca="1">IFERROR(__xludf.DUMMYFUNCTION("""COMPUTED_VALUE"""),"Roberto Pereira")</f>
        <v>Roberto Pereira</v>
      </c>
      <c r="K115" s="25"/>
      <c r="L115" s="25"/>
      <c r="M115" s="25"/>
      <c r="R115" s="7"/>
    </row>
    <row r="116" spans="5:18">
      <c r="E116" s="7" t="str">
        <f ca="1">IFERROR(__xludf.DUMMYFUNCTION("""COMPUTED_VALUE"""),"Antonia Carranza Calleja")</f>
        <v>Antonia Carranza Calleja</v>
      </c>
      <c r="F116" s="7" t="str">
        <f ca="1">IFERROR(__xludf.DUMMYFUNCTION("""COMPUTED_VALUE"""),"PSC33")</f>
        <v>PSC33</v>
      </c>
      <c r="G116" s="7" t="str">
        <f ca="1">IFERROR(__xludf.DUMMYFUNCTION("""COMPUTED_VALUE"""),"Patricia Solache")</f>
        <v>Patricia Solache</v>
      </c>
      <c r="K116" s="25"/>
      <c r="L116" s="25"/>
      <c r="M116" s="25"/>
      <c r="R116" s="7"/>
    </row>
    <row r="117" spans="5:18">
      <c r="E117" s="7" t="str">
        <f ca="1">IFERROR(__xludf.DUMMYFUNCTION("""COMPUTED_VALUE"""),"Antonio Almodovar Iñesta")</f>
        <v>Antonio Almodovar Iñesta</v>
      </c>
      <c r="F117" s="7" t="str">
        <f ca="1">IFERROR(__xludf.DUMMYFUNCTION("""COMPUTED_VALUE"""),"ISL07")</f>
        <v>ISL07</v>
      </c>
      <c r="G117" s="7" t="str">
        <f ca="1">IFERROR(__xludf.DUMMYFUNCTION("""COMPUTED_VALUE"""),"Iván Sánchez")</f>
        <v>Iván Sánchez</v>
      </c>
      <c r="K117" s="25"/>
      <c r="L117" s="25"/>
      <c r="M117" s="25"/>
      <c r="R117" s="7"/>
    </row>
    <row r="118" spans="5:18">
      <c r="E118" s="7" t="str">
        <f ca="1">IFERROR(__xludf.DUMMYFUNCTION("""COMPUTED_VALUE"""),"Antonio Alonso Seco")</f>
        <v>Antonio Alonso Seco</v>
      </c>
      <c r="F118" s="7" t="str">
        <f ca="1">IFERROR(__xludf.DUMMYFUNCTION("""COMPUTED_VALUE"""),"MBM08")</f>
        <v>MBM08</v>
      </c>
      <c r="G118" s="7" t="str">
        <f ca="1">IFERROR(__xludf.DUMMYFUNCTION("""COMPUTED_VALUE"""),"Maika Blázquez")</f>
        <v>Maika Blázquez</v>
      </c>
      <c r="K118" s="25"/>
      <c r="L118" s="25"/>
      <c r="M118" s="25"/>
      <c r="R118" s="7"/>
    </row>
    <row r="119" spans="5:18">
      <c r="E119" s="7" t="str">
        <f ca="1">IFERROR(__xludf.DUMMYFUNCTION("""COMPUTED_VALUE"""),"Antonio Ballesteros Chozas")</f>
        <v>Antonio Ballesteros Chozas</v>
      </c>
      <c r="F119" s="7" t="str">
        <f ca="1">IFERROR(__xludf.DUMMYFUNCTION("""COMPUTED_VALUE"""),"LRM260")</f>
        <v>LRM260</v>
      </c>
      <c r="G119" s="7" t="str">
        <f ca="1">IFERROR(__xludf.DUMMYFUNCTION("""COMPUTED_VALUE"""),"Lisandro Russian")</f>
        <v>Lisandro Russian</v>
      </c>
      <c r="K119" s="25"/>
      <c r="L119" s="25"/>
      <c r="M119" s="25"/>
      <c r="R119" s="7"/>
    </row>
    <row r="120" spans="5:18">
      <c r="E120" s="7" t="str">
        <f ca="1">IFERROR(__xludf.DUMMYFUNCTION("""COMPUTED_VALUE"""),"Antonio Belinchón de Diego")</f>
        <v>Antonio Belinchón de Diego</v>
      </c>
      <c r="F120" s="7" t="str">
        <f ca="1">IFERROR(__xludf.DUMMYFUNCTION("""COMPUTED_VALUE"""),"ISL08")</f>
        <v>ISL08</v>
      </c>
      <c r="G120" s="7" t="str">
        <f ca="1">IFERROR(__xludf.DUMMYFUNCTION("""COMPUTED_VALUE"""),"Iván Sánchez")</f>
        <v>Iván Sánchez</v>
      </c>
      <c r="K120" s="25"/>
      <c r="L120" s="25"/>
      <c r="M120" s="25"/>
      <c r="R120" s="7"/>
    </row>
    <row r="121" spans="5:18">
      <c r="E121" s="7" t="str">
        <f ca="1">IFERROR(__xludf.DUMMYFUNCTION("""COMPUTED_VALUE"""),"Antonio Bueno Ríos")</f>
        <v>Antonio Bueno Ríos</v>
      </c>
      <c r="F121" s="7" t="str">
        <f ca="1">IFERROR(__xludf.DUMMYFUNCTION("""COMPUTED_VALUE"""),"LRM13")</f>
        <v>LRM13</v>
      </c>
      <c r="G121" s="7" t="str">
        <f ca="1">IFERROR(__xludf.DUMMYFUNCTION("""COMPUTED_VALUE"""),"Lisandro Russian")</f>
        <v>Lisandro Russian</v>
      </c>
      <c r="K121" s="25"/>
      <c r="L121" s="25"/>
      <c r="M121" s="25"/>
      <c r="R121" s="7"/>
    </row>
    <row r="122" spans="5:18">
      <c r="E122" s="7" t="str">
        <f ca="1">IFERROR(__xludf.DUMMYFUNCTION("""COMPUTED_VALUE"""),"Antonio Burgos Sánchez")</f>
        <v>Antonio Burgos Sánchez</v>
      </c>
      <c r="F122" s="7" t="str">
        <f ca="1">IFERROR(__xludf.DUMMYFUNCTION("""COMPUTED_VALUE"""),"ISL09")</f>
        <v>ISL09</v>
      </c>
      <c r="G122" s="7" t="str">
        <f ca="1">IFERROR(__xludf.DUMMYFUNCTION("""COMPUTED_VALUE"""),"Iván Sánchez")</f>
        <v>Iván Sánchez</v>
      </c>
      <c r="K122" s="25"/>
      <c r="L122" s="25"/>
      <c r="M122" s="25"/>
      <c r="R122" s="7"/>
    </row>
    <row r="123" spans="5:18">
      <c r="E123" s="7" t="str">
        <f ca="1">IFERROR(__xludf.DUMMYFUNCTION("""COMPUTED_VALUE"""),"Antonio Escalante Meilan")</f>
        <v>Antonio Escalante Meilan</v>
      </c>
      <c r="F123" s="7" t="str">
        <f ca="1">IFERROR(__xludf.DUMMYFUNCTION("""COMPUTED_VALUE"""),"MBM09")</f>
        <v>MBM09</v>
      </c>
      <c r="G123" s="7" t="str">
        <f ca="1">IFERROR(__xludf.DUMMYFUNCTION("""COMPUTED_VALUE"""),"Maika Blázquez")</f>
        <v>Maika Blázquez</v>
      </c>
      <c r="K123" s="25"/>
      <c r="L123" s="25"/>
      <c r="M123" s="25"/>
      <c r="R123" s="7"/>
    </row>
    <row r="124" spans="5:18">
      <c r="E124" s="7" t="str">
        <f ca="1">IFERROR(__xludf.DUMMYFUNCTION("""COMPUTED_VALUE"""),"Antonio Fraile Azpeitia")</f>
        <v>Antonio Fraile Azpeitia</v>
      </c>
      <c r="F124" s="7" t="str">
        <f ca="1">IFERROR(__xludf.DUMMYFUNCTION("""COMPUTED_VALUE"""),"MBM10")</f>
        <v>MBM10</v>
      </c>
      <c r="G124" s="7" t="str">
        <f ca="1">IFERROR(__xludf.DUMMYFUNCTION("""COMPUTED_VALUE"""),"Maika Blázquez")</f>
        <v>Maika Blázquez</v>
      </c>
      <c r="K124" s="25"/>
      <c r="L124" s="25"/>
      <c r="M124" s="25"/>
      <c r="R124" s="7"/>
    </row>
    <row r="125" spans="5:18">
      <c r="E125" s="7" t="str">
        <f ca="1">IFERROR(__xludf.DUMMYFUNCTION("""COMPUTED_VALUE"""),"Antonio Galindo Fernández")</f>
        <v>Antonio Galindo Fernández</v>
      </c>
      <c r="F125" s="7" t="str">
        <f ca="1">IFERROR(__xludf.DUMMYFUNCTION("""COMPUTED_VALUE"""),"ISL10")</f>
        <v>ISL10</v>
      </c>
      <c r="G125" s="7" t="str">
        <f ca="1">IFERROR(__xludf.DUMMYFUNCTION("""COMPUTED_VALUE"""),"Iván Sánchez")</f>
        <v>Iván Sánchez</v>
      </c>
      <c r="K125" s="25"/>
      <c r="L125" s="25"/>
      <c r="M125" s="25"/>
      <c r="R125" s="7"/>
    </row>
    <row r="126" spans="5:18">
      <c r="E126" s="7" t="str">
        <f ca="1">IFERROR(__xludf.DUMMYFUNCTION("""COMPUTED_VALUE"""),"Antonio Gandúl Merchán")</f>
        <v>Antonio Gandúl Merchán</v>
      </c>
      <c r="F126" s="7" t="str">
        <f ca="1">IFERROR(__xludf.DUMMYFUNCTION("""COMPUTED_VALUE"""),"LAA02")</f>
        <v>LAA02</v>
      </c>
      <c r="G126" s="7" t="str">
        <f ca="1">IFERROR(__xludf.DUMMYFUNCTION("""COMPUTED_VALUE"""),"Luis Alberto Rodríguez")</f>
        <v>Luis Alberto Rodríguez</v>
      </c>
      <c r="K126" s="25"/>
      <c r="L126" s="25"/>
      <c r="M126" s="25"/>
      <c r="R126" s="7"/>
    </row>
    <row r="127" spans="5:18">
      <c r="E127" s="7" t="str">
        <f ca="1">IFERROR(__xludf.DUMMYFUNCTION("""COMPUTED_VALUE"""),"Antonio García Díez")</f>
        <v>Antonio García Díez</v>
      </c>
      <c r="F127" s="7" t="str">
        <f ca="1">IFERROR(__xludf.DUMMYFUNCTION("""COMPUTED_VALUE"""),"AMM19")</f>
        <v>AMM19</v>
      </c>
      <c r="G127" s="7" t="str">
        <f ca="1">IFERROR(__xludf.DUMMYFUNCTION("""COMPUTED_VALUE"""),"Alberto Moreno")</f>
        <v>Alberto Moreno</v>
      </c>
      <c r="K127" s="25"/>
      <c r="L127" s="25"/>
      <c r="M127" s="25"/>
      <c r="R127" s="7"/>
    </row>
    <row r="128" spans="5:18">
      <c r="E128" s="7" t="str">
        <f ca="1">IFERROR(__xludf.DUMMYFUNCTION("""COMPUTED_VALUE"""),"Antonio Gómez Torres")</f>
        <v>Antonio Gómez Torres</v>
      </c>
      <c r="F128" s="7" t="str">
        <f ca="1">IFERROR(__xludf.DUMMYFUNCTION("""COMPUTED_VALUE"""),"LAA03")</f>
        <v>LAA03</v>
      </c>
      <c r="G128" s="7" t="str">
        <f ca="1">IFERROR(__xludf.DUMMYFUNCTION("""COMPUTED_VALUE"""),"Luis Alberto Rodríguez")</f>
        <v>Luis Alberto Rodríguez</v>
      </c>
      <c r="K128" s="25"/>
      <c r="L128" s="25"/>
      <c r="M128" s="25"/>
      <c r="R128" s="7"/>
    </row>
    <row r="129" spans="5:18">
      <c r="E129" s="7" t="str">
        <f ca="1">IFERROR(__xludf.DUMMYFUNCTION("""COMPUTED_VALUE"""),"Antonio González Prado")</f>
        <v>Antonio González Prado</v>
      </c>
      <c r="F129" s="7" t="str">
        <f ca="1">IFERROR(__xludf.DUMMYFUNCTION("""COMPUTED_VALUE"""),"RPG04")</f>
        <v>RPG04</v>
      </c>
      <c r="G129" s="7" t="str">
        <f ca="1">IFERROR(__xludf.DUMMYFUNCTION("""COMPUTED_VALUE"""),"Roberto Pereira")</f>
        <v>Roberto Pereira</v>
      </c>
      <c r="K129" s="25"/>
      <c r="L129" s="25"/>
      <c r="M129" s="25"/>
      <c r="R129" s="7"/>
    </row>
    <row r="130" spans="5:18">
      <c r="E130" s="7" t="str">
        <f ca="1">IFERROR(__xludf.DUMMYFUNCTION("""COMPUTED_VALUE"""),"Antonio Gustavo Lirola Delgado")</f>
        <v>Antonio Gustavo Lirola Delgado</v>
      </c>
      <c r="F130" s="7" t="str">
        <f ca="1">IFERROR(__xludf.DUMMYFUNCTION("""COMPUTED_VALUE"""),"RPG05")</f>
        <v>RPG05</v>
      </c>
      <c r="G130" s="7" t="str">
        <f ca="1">IFERROR(__xludf.DUMMYFUNCTION("""COMPUTED_VALUE"""),"Roberto Pereira")</f>
        <v>Roberto Pereira</v>
      </c>
      <c r="K130" s="25"/>
      <c r="L130" s="25"/>
      <c r="M130" s="25"/>
      <c r="R130" s="7"/>
    </row>
    <row r="131" spans="5:18">
      <c r="E131" s="7" t="str">
        <f ca="1">IFERROR(__xludf.DUMMYFUNCTION("""COMPUTED_VALUE"""),"Antonio José Fernández Pérez")</f>
        <v>Antonio José Fernández Pérez</v>
      </c>
      <c r="F131" s="7" t="str">
        <f ca="1">IFERROR(__xludf.DUMMYFUNCTION("""COMPUTED_VALUE"""),"RFV01")</f>
        <v>RFV01</v>
      </c>
      <c r="G131" s="7" t="str">
        <f ca="1">IFERROR(__xludf.DUMMYFUNCTION("""COMPUTED_VALUE"""),"Ramon Ferrando")</f>
        <v>Ramon Ferrando</v>
      </c>
      <c r="K131" s="25"/>
      <c r="L131" s="25"/>
      <c r="M131" s="25"/>
      <c r="R131" s="7"/>
    </row>
    <row r="132" spans="5:18">
      <c r="E132" s="7" t="str">
        <f ca="1">IFERROR(__xludf.DUMMYFUNCTION("""COMPUTED_VALUE"""),"Antonio José Lara Peinado")</f>
        <v>Antonio José Lara Peinado</v>
      </c>
      <c r="F132" s="7" t="str">
        <f ca="1">IFERROR(__xludf.DUMMYFUNCTION("""COMPUTED_VALUE"""),"LRM14")</f>
        <v>LRM14</v>
      </c>
      <c r="G132" s="7" t="str">
        <f ca="1">IFERROR(__xludf.DUMMYFUNCTION("""COMPUTED_VALUE"""),"Lisandro Russian")</f>
        <v>Lisandro Russian</v>
      </c>
      <c r="K132" s="25"/>
      <c r="L132" s="25"/>
      <c r="M132" s="25"/>
      <c r="R132" s="7"/>
    </row>
    <row r="133" spans="5:18">
      <c r="E133" s="7" t="str">
        <f ca="1">IFERROR(__xludf.DUMMYFUNCTION("""COMPUTED_VALUE"""),"Antonio Lozano Sánchez")</f>
        <v>Antonio Lozano Sánchez</v>
      </c>
      <c r="F133" s="7" t="str">
        <f ca="1">IFERROR(__xludf.DUMMYFUNCTION("""COMPUTED_VALUE"""),"PSC03")</f>
        <v>PSC03</v>
      </c>
      <c r="G133" s="7" t="str">
        <f ca="1">IFERROR(__xludf.DUMMYFUNCTION("""COMPUTED_VALUE"""),"Patricia Solache")</f>
        <v>Patricia Solache</v>
      </c>
      <c r="K133" s="25"/>
      <c r="L133" s="25"/>
      <c r="M133" s="25"/>
      <c r="R133" s="7"/>
    </row>
    <row r="134" spans="5:18">
      <c r="E134" s="7" t="str">
        <f ca="1">IFERROR(__xludf.DUMMYFUNCTION("""COMPUTED_VALUE"""),"Antonio Medinilla Vallejo")</f>
        <v>Antonio Medinilla Vallejo</v>
      </c>
      <c r="F134" s="7" t="str">
        <f ca="1">IFERROR(__xludf.DUMMYFUNCTION("""COMPUTED_VALUE"""),"LAA85")</f>
        <v>LAA85</v>
      </c>
      <c r="G134" s="7" t="str">
        <f ca="1">IFERROR(__xludf.DUMMYFUNCTION("""COMPUTED_VALUE"""),"Luis Alberto Rodríguez")</f>
        <v>Luis Alberto Rodríguez</v>
      </c>
      <c r="K134" s="25"/>
      <c r="L134" s="25"/>
      <c r="M134" s="25"/>
      <c r="R134" s="7"/>
    </row>
    <row r="135" spans="5:18">
      <c r="E135" s="7" t="str">
        <f ca="1">IFERROR(__xludf.DUMMYFUNCTION("""COMPUTED_VALUE"""),"Antonio Morant Ventura")</f>
        <v>Antonio Morant Ventura</v>
      </c>
      <c r="F135" s="7" t="str">
        <f ca="1">IFERROR(__xludf.DUMMYFUNCTION("""COMPUTED_VALUE"""),"ISL11")</f>
        <v>ISL11</v>
      </c>
      <c r="G135" s="7" t="str">
        <f ca="1">IFERROR(__xludf.DUMMYFUNCTION("""COMPUTED_VALUE"""),"Iván Sánchez")</f>
        <v>Iván Sánchez</v>
      </c>
      <c r="K135" s="25"/>
      <c r="L135" s="25"/>
      <c r="M135" s="25"/>
      <c r="R135" s="7"/>
    </row>
    <row r="136" spans="5:18">
      <c r="E136" s="7" t="str">
        <f ca="1">IFERROR(__xludf.DUMMYFUNCTION("""COMPUTED_VALUE"""),"Antonio Perez Sanchez")</f>
        <v>Antonio Perez Sanchez</v>
      </c>
      <c r="F136" s="7" t="str">
        <f ca="1">IFERROR(__xludf.DUMMYFUNCTION("""COMPUTED_VALUE"""),"LRM15")</f>
        <v>LRM15</v>
      </c>
      <c r="G136" s="7" t="str">
        <f ca="1">IFERROR(__xludf.DUMMYFUNCTION("""COMPUTED_VALUE"""),"Lisandro Russian")</f>
        <v>Lisandro Russian</v>
      </c>
      <c r="K136" s="25"/>
      <c r="L136" s="25"/>
      <c r="M136" s="25"/>
      <c r="R136" s="7"/>
    </row>
    <row r="137" spans="5:18">
      <c r="E137" s="7" t="str">
        <f ca="1">IFERROR(__xludf.DUMMYFUNCTION("""COMPUTED_VALUE"""),"Antonio Rodríguez Rivero")</f>
        <v>Antonio Rodríguez Rivero</v>
      </c>
      <c r="F137" s="7" t="str">
        <f ca="1">IFERROR(__xludf.DUMMYFUNCTION("""COMPUTED_VALUE"""),"MBM11")</f>
        <v>MBM11</v>
      </c>
      <c r="G137" s="7" t="str">
        <f ca="1">IFERROR(__xludf.DUMMYFUNCTION("""COMPUTED_VALUE"""),"Maika Blázquez")</f>
        <v>Maika Blázquez</v>
      </c>
      <c r="K137" s="25"/>
      <c r="L137" s="25"/>
      <c r="M137" s="25"/>
      <c r="R137" s="7"/>
    </row>
    <row r="138" spans="5:18">
      <c r="E138" s="7" t="str">
        <f ca="1">IFERROR(__xludf.DUMMYFUNCTION("""COMPUTED_VALUE"""),"Antonio Sánchez Del Hoyo")</f>
        <v>Antonio Sánchez Del Hoyo</v>
      </c>
      <c r="F138" s="7" t="str">
        <f ca="1">IFERROR(__xludf.DUMMYFUNCTION("""COMPUTED_VALUE"""),"LRM16")</f>
        <v>LRM16</v>
      </c>
      <c r="G138" s="7" t="str">
        <f ca="1">IFERROR(__xludf.DUMMYFUNCTION("""COMPUTED_VALUE"""),"Lisandro Russian")</f>
        <v>Lisandro Russian</v>
      </c>
      <c r="K138" s="25"/>
      <c r="L138" s="25"/>
      <c r="M138" s="25"/>
      <c r="R138" s="7"/>
    </row>
    <row r="139" spans="5:18">
      <c r="E139" s="7" t="str">
        <f ca="1">IFERROR(__xludf.DUMMYFUNCTION("""COMPUTED_VALUE"""),"Aquileo Baena Arévalo")</f>
        <v>Aquileo Baena Arévalo</v>
      </c>
      <c r="F139" s="7" t="str">
        <f ca="1">IFERROR(__xludf.DUMMYFUNCTION("""COMPUTED_VALUE"""),"LRM17")</f>
        <v>LRM17</v>
      </c>
      <c r="G139" s="7" t="str">
        <f ca="1">IFERROR(__xludf.DUMMYFUNCTION("""COMPUTED_VALUE"""),"Lisandro Russian")</f>
        <v>Lisandro Russian</v>
      </c>
      <c r="K139" s="25"/>
      <c r="L139" s="25"/>
      <c r="M139" s="25"/>
      <c r="R139" s="7"/>
    </row>
    <row r="140" spans="5:18">
      <c r="E140" s="7" t="str">
        <f ca="1">IFERROR(__xludf.DUMMYFUNCTION("""COMPUTED_VALUE"""),"Araceli González Delgado")</f>
        <v>Araceli González Delgado</v>
      </c>
      <c r="F140" s="7" t="str">
        <f ca="1">IFERROR(__xludf.DUMMYFUNCTION("""COMPUTED_VALUE"""),"ISL92")</f>
        <v>ISL92</v>
      </c>
      <c r="G140" s="7" t="str">
        <f ca="1">IFERROR(__xludf.DUMMYFUNCTION("""COMPUTED_VALUE"""),"Iván Sánchez")</f>
        <v>Iván Sánchez</v>
      </c>
      <c r="K140" s="25"/>
      <c r="L140" s="25"/>
      <c r="M140" s="25"/>
      <c r="R140" s="7"/>
    </row>
    <row r="141" spans="5:18">
      <c r="E141" s="7" t="str">
        <f ca="1">IFERROR(__xludf.DUMMYFUNCTION("""COMPUTED_VALUE"""),"Asier Blanco Goñi")</f>
        <v>Asier Blanco Goñi</v>
      </c>
      <c r="F141" s="7" t="str">
        <f ca="1">IFERROR(__xludf.DUMMYFUNCTION("""COMPUTED_VALUE"""),"LRM18")</f>
        <v>LRM18</v>
      </c>
      <c r="G141" s="7" t="str">
        <f ca="1">IFERROR(__xludf.DUMMYFUNCTION("""COMPUTED_VALUE"""),"Lisandro Russian")</f>
        <v>Lisandro Russian</v>
      </c>
      <c r="K141" s="25"/>
      <c r="L141" s="25"/>
      <c r="M141" s="25"/>
      <c r="R141" s="7"/>
    </row>
    <row r="142" spans="5:18">
      <c r="E142" s="7" t="str">
        <f ca="1">IFERROR(__xludf.DUMMYFUNCTION("""COMPUTED_VALUE"""),"Aurora López Llames")</f>
        <v>Aurora López Llames</v>
      </c>
      <c r="F142" s="7" t="str">
        <f ca="1">IFERROR(__xludf.DUMMYFUNCTION("""COMPUTED_VALUE"""),"ISL93")</f>
        <v>ISL93</v>
      </c>
      <c r="G142" s="7" t="str">
        <f ca="1">IFERROR(__xludf.DUMMYFUNCTION("""COMPUTED_VALUE"""),"Iván Sánchez")</f>
        <v>Iván Sánchez</v>
      </c>
      <c r="K142" s="25"/>
      <c r="L142" s="25"/>
      <c r="M142" s="25"/>
      <c r="R142" s="7"/>
    </row>
    <row r="143" spans="5:18">
      <c r="E143" s="7" t="str">
        <f ca="1">IFERROR(__xludf.DUMMYFUNCTION("""COMPUTED_VALUE"""),"Aurora Rivas Laguarta")</f>
        <v>Aurora Rivas Laguarta</v>
      </c>
      <c r="F143" s="7" t="str">
        <f ca="1">IFERROR(__xludf.DUMMYFUNCTION("""COMPUTED_VALUE"""),"LRM136")</f>
        <v>LRM136</v>
      </c>
      <c r="G143" s="7" t="str">
        <f ca="1">IFERROR(__xludf.DUMMYFUNCTION("""COMPUTED_VALUE"""),"Lisandro Russian")</f>
        <v>Lisandro Russian</v>
      </c>
      <c r="K143" s="25"/>
      <c r="L143" s="25"/>
      <c r="M143" s="25"/>
      <c r="R143" s="7"/>
    </row>
    <row r="144" spans="5:18">
      <c r="E144" s="7" t="str">
        <f ca="1">IFERROR(__xludf.DUMMYFUNCTION("""COMPUTED_VALUE"""),"Azucena Lloris Romero")</f>
        <v>Azucena Lloris Romero</v>
      </c>
      <c r="F144" s="7" t="str">
        <f ca="1">IFERROR(__xludf.DUMMYFUNCTION("""COMPUTED_VALUE"""),"MBM93")</f>
        <v>MBM93</v>
      </c>
      <c r="G144" s="7" t="str">
        <f ca="1">IFERROR(__xludf.DUMMYFUNCTION("""COMPUTED_VALUE"""),"Maika Blázquez")</f>
        <v>Maika Blázquez</v>
      </c>
      <c r="K144" s="25"/>
      <c r="L144" s="25"/>
      <c r="M144" s="25"/>
      <c r="R144" s="7"/>
    </row>
    <row r="145" spans="5:18">
      <c r="E145" s="7" t="str">
        <f ca="1">IFERROR(__xludf.DUMMYFUNCTION("""COMPUTED_VALUE"""),"Bárbara Castillo Ávila")</f>
        <v>Bárbara Castillo Ávila</v>
      </c>
      <c r="F145" s="7" t="str">
        <f ca="1">IFERROR(__xludf.DUMMYFUNCTION("""COMPUTED_VALUE"""),"MBM94")</f>
        <v>MBM94</v>
      </c>
      <c r="G145" s="7" t="str">
        <f ca="1">IFERROR(__xludf.DUMMYFUNCTION("""COMPUTED_VALUE"""),"Maika Blázquez")</f>
        <v>Maika Blázquez</v>
      </c>
      <c r="K145" s="25"/>
      <c r="L145" s="25"/>
      <c r="M145" s="25"/>
      <c r="R145" s="7"/>
    </row>
    <row r="146" spans="5:18">
      <c r="E146" s="7" t="str">
        <f ca="1">IFERROR(__xludf.DUMMYFUNCTION("""COMPUTED_VALUE"""),"Bárbara Serrano Calleja")</f>
        <v>Bárbara Serrano Calleja</v>
      </c>
      <c r="F146" s="7" t="str">
        <f ca="1">IFERROR(__xludf.DUMMYFUNCTION("""COMPUTED_VALUE"""),"LRM269")</f>
        <v>LRM269</v>
      </c>
      <c r="G146" s="7" t="str">
        <f ca="1">IFERROR(__xludf.DUMMYFUNCTION("""COMPUTED_VALUE"""),"Lisandro Russian")</f>
        <v>Lisandro Russian</v>
      </c>
      <c r="K146" s="25"/>
      <c r="L146" s="25"/>
      <c r="M146" s="25"/>
      <c r="R146" s="7"/>
    </row>
    <row r="147" spans="5:18">
      <c r="E147" s="7" t="str">
        <f ca="1">IFERROR(__xludf.DUMMYFUNCTION("""COMPUTED_VALUE"""),"Beatríz Agreda Moreno")</f>
        <v>Beatríz Agreda Moreno</v>
      </c>
      <c r="F147" s="7" t="str">
        <f ca="1">IFERROR(__xludf.DUMMYFUNCTION("""COMPUTED_VALUE"""),"LRM137")</f>
        <v>LRM137</v>
      </c>
      <c r="G147" s="7" t="str">
        <f ca="1">IFERROR(__xludf.DUMMYFUNCTION("""COMPUTED_VALUE"""),"Lisandro Russian")</f>
        <v>Lisandro Russian</v>
      </c>
      <c r="K147" s="25"/>
      <c r="L147" s="25"/>
      <c r="M147" s="25"/>
      <c r="R147" s="7"/>
    </row>
    <row r="148" spans="5:18">
      <c r="E148" s="7" t="str">
        <f ca="1">IFERROR(__xludf.DUMMYFUNCTION("""COMPUTED_VALUE"""),"Beatriz Arana Fernández")</f>
        <v>Beatriz Arana Fernández</v>
      </c>
      <c r="F148" s="7" t="str">
        <f ca="1">IFERROR(__xludf.DUMMYFUNCTION("""COMPUTED_VALUE"""),"MBM95")</f>
        <v>MBM95</v>
      </c>
      <c r="G148" s="7" t="str">
        <f ca="1">IFERROR(__xludf.DUMMYFUNCTION("""COMPUTED_VALUE"""),"Maika Blázquez")</f>
        <v>Maika Blázquez</v>
      </c>
      <c r="K148" s="25"/>
      <c r="L148" s="25"/>
      <c r="M148" s="25"/>
      <c r="R148" s="7"/>
    </row>
    <row r="149" spans="5:18">
      <c r="E149" s="7" t="str">
        <f ca="1">IFERROR(__xludf.DUMMYFUNCTION("""COMPUTED_VALUE"""),"Beatriz Molina Montes")</f>
        <v>Beatriz Molina Montes</v>
      </c>
      <c r="F149" s="7" t="str">
        <f ca="1">IFERROR(__xludf.DUMMYFUNCTION("""COMPUTED_VALUE"""),"LRM138")</f>
        <v>LRM138</v>
      </c>
      <c r="G149" s="7" t="str">
        <f ca="1">IFERROR(__xludf.DUMMYFUNCTION("""COMPUTED_VALUE"""),"Lisandro Russian")</f>
        <v>Lisandro Russian</v>
      </c>
      <c r="K149" s="25"/>
      <c r="L149" s="25"/>
      <c r="M149" s="25"/>
      <c r="R149" s="7"/>
    </row>
    <row r="150" spans="5:18">
      <c r="E150" s="7" t="str">
        <f ca="1">IFERROR(__xludf.DUMMYFUNCTION("""COMPUTED_VALUE"""),"Beatriz Rodríguez González Herrero")</f>
        <v>Beatriz Rodríguez González Herrero</v>
      </c>
      <c r="F150" s="7" t="str">
        <f ca="1">IFERROR(__xludf.DUMMYFUNCTION("""COMPUTED_VALUE"""),"ISL94")</f>
        <v>ISL94</v>
      </c>
      <c r="G150" s="7" t="str">
        <f ca="1">IFERROR(__xludf.DUMMYFUNCTION("""COMPUTED_VALUE"""),"Iván Sánchez")</f>
        <v>Iván Sánchez</v>
      </c>
      <c r="K150" s="25"/>
      <c r="L150" s="25"/>
      <c r="M150" s="25"/>
      <c r="R150" s="7"/>
    </row>
    <row r="151" spans="5:18">
      <c r="E151" s="7" t="str">
        <f ca="1">IFERROR(__xludf.DUMMYFUNCTION("""COMPUTED_VALUE"""),"Beatriz Santos Duque")</f>
        <v>Beatriz Santos Duque</v>
      </c>
      <c r="F151" s="7" t="str">
        <f ca="1">IFERROR(__xludf.DUMMYFUNCTION("""COMPUTED_VALUE"""),"MBM96")</f>
        <v>MBM96</v>
      </c>
      <c r="G151" s="7" t="str">
        <f ca="1">IFERROR(__xludf.DUMMYFUNCTION("""COMPUTED_VALUE"""),"Maika Blázquez")</f>
        <v>Maika Blázquez</v>
      </c>
      <c r="R151" s="7"/>
    </row>
    <row r="152" spans="5:18">
      <c r="E152" s="7" t="str">
        <f ca="1">IFERROR(__xludf.DUMMYFUNCTION("""COMPUTED_VALUE"""),"Belén Clemente Cuartero")</f>
        <v>Belén Clemente Cuartero</v>
      </c>
      <c r="F152" s="7" t="str">
        <f ca="1">IFERROR(__xludf.DUMMYFUNCTION("""COMPUTED_VALUE"""),"LRM139")</f>
        <v>LRM139</v>
      </c>
      <c r="G152" s="7" t="str">
        <f ca="1">IFERROR(__xludf.DUMMYFUNCTION("""COMPUTED_VALUE"""),"Lisandro Russian")</f>
        <v>Lisandro Russian</v>
      </c>
      <c r="R152" s="7"/>
    </row>
    <row r="153" spans="5:18">
      <c r="E153" s="7" t="str">
        <f ca="1">IFERROR(__xludf.DUMMYFUNCTION("""COMPUTED_VALUE"""),"Belén Vielba Del Campo")</f>
        <v>Belén Vielba Del Campo</v>
      </c>
      <c r="F153" s="7" t="str">
        <f ca="1">IFERROR(__xludf.DUMMYFUNCTION("""COMPUTED_VALUE"""),"LRM140")</f>
        <v>LRM140</v>
      </c>
      <c r="G153" s="7" t="str">
        <f ca="1">IFERROR(__xludf.DUMMYFUNCTION("""COMPUTED_VALUE"""),"Lisandro Russian")</f>
        <v>Lisandro Russian</v>
      </c>
      <c r="R153" s="7"/>
    </row>
    <row r="154" spans="5:18">
      <c r="E154" s="7" t="str">
        <f ca="1">IFERROR(__xludf.DUMMYFUNCTION("""COMPUTED_VALUE"""),"Berta Alegre Edo")</f>
        <v>Berta Alegre Edo</v>
      </c>
      <c r="F154" s="7" t="str">
        <f ca="1">IFERROR(__xludf.DUMMYFUNCTION("""COMPUTED_VALUE"""),"MCC41")</f>
        <v>MCC41</v>
      </c>
      <c r="G154" s="7" t="str">
        <f ca="1">IFERROR(__xludf.DUMMYFUNCTION("""COMPUTED_VALUE"""),"Mercè Cabrera")</f>
        <v>Mercè Cabrera</v>
      </c>
      <c r="R154" s="7"/>
    </row>
    <row r="155" spans="5:18">
      <c r="E155" s="7" t="str">
        <f ca="1">IFERROR(__xludf.DUMMYFUNCTION("""COMPUTED_VALUE"""),"Berta Patiño Castiñeira")</f>
        <v>Berta Patiño Castiñeira</v>
      </c>
      <c r="F155" s="7" t="str">
        <f ca="1">IFERROR(__xludf.DUMMYFUNCTION("""COMPUTED_VALUE"""),"RPG39")</f>
        <v>RPG39</v>
      </c>
      <c r="G155" s="7" t="str">
        <f ca="1">IFERROR(__xludf.DUMMYFUNCTION("""COMPUTED_VALUE"""),"Roberto Pereira")</f>
        <v>Roberto Pereira</v>
      </c>
      <c r="R155" s="7"/>
    </row>
    <row r="156" spans="5:18">
      <c r="E156" s="7" t="str">
        <f ca="1">IFERROR(__xludf.DUMMYFUNCTION("""COMPUTED_VALUE"""),"Blanca De La Fuente Garcia-Peytavi")</f>
        <v>Blanca De La Fuente Garcia-Peytavi</v>
      </c>
      <c r="F156" s="7" t="str">
        <f ca="1">IFERROR(__xludf.DUMMYFUNCTION("""COMPUTED_VALUE"""),"LRM245")</f>
        <v>LRM245</v>
      </c>
      <c r="G156" s="7" t="str">
        <f ca="1">IFERROR(__xludf.DUMMYFUNCTION("""COMPUTED_VALUE"""),"Lisandro Russian")</f>
        <v>Lisandro Russian</v>
      </c>
      <c r="R156" s="7"/>
    </row>
    <row r="157" spans="5:18">
      <c r="E157" s="7" t="str">
        <f ca="1">IFERROR(__xludf.DUMMYFUNCTION("""COMPUTED_VALUE"""),"Blanca de Sitjar De Togores")</f>
        <v>Blanca de Sitjar De Togores</v>
      </c>
      <c r="F157" s="7" t="str">
        <f ca="1">IFERROR(__xludf.DUMMYFUNCTION("""COMPUTED_VALUE"""),"MCC42")</f>
        <v>MCC42</v>
      </c>
      <c r="G157" s="7" t="str">
        <f ca="1">IFERROR(__xludf.DUMMYFUNCTION("""COMPUTED_VALUE"""),"Mercè Cabrera")</f>
        <v>Mercè Cabrera</v>
      </c>
      <c r="R157" s="7"/>
    </row>
    <row r="158" spans="5:18">
      <c r="E158" s="7" t="str">
        <f ca="1">IFERROR(__xludf.DUMMYFUNCTION("""COMPUTED_VALUE"""),"Blanca Maria Martinez Duro")</f>
        <v>Blanca Maria Martinez Duro</v>
      </c>
      <c r="F158" s="7" t="str">
        <f ca="1">IFERROR(__xludf.DUMMYFUNCTION("""COMPUTED_VALUE"""),"ISL95")</f>
        <v>ISL95</v>
      </c>
      <c r="G158" s="7" t="str">
        <f ca="1">IFERROR(__xludf.DUMMYFUNCTION("""COMPUTED_VALUE"""),"Iván Sánchez")</f>
        <v>Iván Sánchez</v>
      </c>
      <c r="R158" s="7"/>
    </row>
    <row r="159" spans="5:18">
      <c r="E159" s="7" t="str">
        <f ca="1">IFERROR(__xludf.DUMMYFUNCTION("""COMPUTED_VALUE"""),"Blanca Marly De Alós")</f>
        <v>Blanca Marly De Alós</v>
      </c>
      <c r="F159" s="7" t="str">
        <f ca="1">IFERROR(__xludf.DUMMYFUNCTION("""COMPUTED_VALUE"""),"RPG65")</f>
        <v>RPG65</v>
      </c>
      <c r="G159" s="7" t="str">
        <f ca="1">IFERROR(__xludf.DUMMYFUNCTION("""COMPUTED_VALUE"""),"Roberto Pereira")</f>
        <v>Roberto Pereira</v>
      </c>
      <c r="R159" s="7"/>
    </row>
    <row r="160" spans="5:18">
      <c r="E160" s="7" t="str">
        <f ca="1">IFERROR(__xludf.DUMMYFUNCTION("""COMPUTED_VALUE"""),"Blanca Mateos Serrano")</f>
        <v>Blanca Mateos Serrano</v>
      </c>
      <c r="F160" s="7" t="str">
        <f ca="1">IFERROR(__xludf.DUMMYFUNCTION("""COMPUTED_VALUE"""),"LRM141")</f>
        <v>LRM141</v>
      </c>
      <c r="G160" s="7" t="str">
        <f ca="1">IFERROR(__xludf.DUMMYFUNCTION("""COMPUTED_VALUE"""),"Lisandro Russian")</f>
        <v>Lisandro Russian</v>
      </c>
      <c r="R160" s="7"/>
    </row>
    <row r="161" spans="5:18">
      <c r="E161" s="7" t="str">
        <f ca="1">IFERROR(__xludf.DUMMYFUNCTION("""COMPUTED_VALUE"""),"Borja Andrés Bazán Inostroza")</f>
        <v>Borja Andrés Bazán Inostroza</v>
      </c>
      <c r="F161" s="7" t="str">
        <f ca="1">IFERROR(__xludf.DUMMYFUNCTION("""COMPUTED_VALUE"""),"MBM12")</f>
        <v>MBM12</v>
      </c>
      <c r="G161" s="7" t="str">
        <f ca="1">IFERROR(__xludf.DUMMYFUNCTION("""COMPUTED_VALUE"""),"Maika Blázquez")</f>
        <v>Maika Blázquez</v>
      </c>
      <c r="R161" s="7"/>
    </row>
    <row r="162" spans="5:18">
      <c r="E162" s="7" t="str">
        <f ca="1">IFERROR(__xludf.DUMMYFUNCTION("""COMPUTED_VALUE"""),"Borja Boronat Catalá")</f>
        <v>Borja Boronat Catalá</v>
      </c>
      <c r="F162" s="7" t="str">
        <f ca="1">IFERROR(__xludf.DUMMYFUNCTION("""COMPUTED_VALUE"""),"RPG06")</f>
        <v>RPG06</v>
      </c>
      <c r="G162" s="7" t="str">
        <f ca="1">IFERROR(__xludf.DUMMYFUNCTION("""COMPUTED_VALUE"""),"Roberto Pereira")</f>
        <v>Roberto Pereira</v>
      </c>
      <c r="R162" s="7"/>
    </row>
    <row r="163" spans="5:18">
      <c r="E163" s="7" t="str">
        <f ca="1">IFERROR(__xludf.DUMMYFUNCTION("""COMPUTED_VALUE"""),"Camilo Rodríguez van Strahle")</f>
        <v>Camilo Rodríguez van Strahle</v>
      </c>
      <c r="F163" s="7" t="str">
        <f ca="1">IFERROR(__xludf.DUMMYFUNCTION("""COMPUTED_VALUE"""),"MCC75")</f>
        <v>MCC75</v>
      </c>
      <c r="G163" s="7" t="str">
        <f ca="1">IFERROR(__xludf.DUMMYFUNCTION("""COMPUTED_VALUE"""),"Mercè Cabrera")</f>
        <v>Mercè Cabrera</v>
      </c>
      <c r="R163" s="7"/>
    </row>
    <row r="164" spans="5:18">
      <c r="E164" s="7" t="str">
        <f ca="1">IFERROR(__xludf.DUMMYFUNCTION("""COMPUTED_VALUE"""),"Candida Betsabeth Cabrales")</f>
        <v>Candida Betsabeth Cabrales</v>
      </c>
      <c r="F164" s="7" t="str">
        <f ca="1">IFERROR(__xludf.DUMMYFUNCTION("""COMPUTED_VALUE"""),"MBM97")</f>
        <v>MBM97</v>
      </c>
      <c r="G164" s="7" t="str">
        <f ca="1">IFERROR(__xludf.DUMMYFUNCTION("""COMPUTED_VALUE"""),"Maika Blázquez")</f>
        <v>Maika Blázquez</v>
      </c>
      <c r="R164" s="7"/>
    </row>
    <row r="165" spans="5:18">
      <c r="E165" s="7" t="str">
        <f ca="1">IFERROR(__xludf.DUMMYFUNCTION("""COMPUTED_VALUE"""),"Carles Heredia Llinás")</f>
        <v>Carles Heredia Llinás</v>
      </c>
      <c r="F165" s="7" t="str">
        <f ca="1">IFERROR(__xludf.DUMMYFUNCTION("""COMPUTED_VALUE"""),"MBM194")</f>
        <v>MBM194</v>
      </c>
      <c r="G165" s="7" t="str">
        <f ca="1">IFERROR(__xludf.DUMMYFUNCTION("""COMPUTED_VALUE"""),"Maika Blázquez")</f>
        <v>Maika Blázquez</v>
      </c>
      <c r="R165" s="7"/>
    </row>
    <row r="166" spans="5:18">
      <c r="E166" s="7" t="str">
        <f ca="1">IFERROR(__xludf.DUMMYFUNCTION("""COMPUTED_VALUE"""),"Carlos Armiño Megido")</f>
        <v>Carlos Armiño Megido</v>
      </c>
      <c r="F166" s="7" t="str">
        <f ca="1">IFERROR(__xludf.DUMMYFUNCTION("""COMPUTED_VALUE"""),"LRM19")</f>
        <v>LRM19</v>
      </c>
      <c r="G166" s="7" t="str">
        <f ca="1">IFERROR(__xludf.DUMMYFUNCTION("""COMPUTED_VALUE"""),"Lisandro Russian")</f>
        <v>Lisandro Russian</v>
      </c>
      <c r="R166" s="7"/>
    </row>
    <row r="167" spans="5:18">
      <c r="E167" s="7" t="str">
        <f ca="1">IFERROR(__xludf.DUMMYFUNCTION("""COMPUTED_VALUE"""),"Carlos Barajas Del Rosal")</f>
        <v>Carlos Barajas Del Rosal</v>
      </c>
      <c r="F167" s="7" t="str">
        <f ca="1">IFERROR(__xludf.DUMMYFUNCTION("""COMPUTED_VALUE"""),"LRM239")</f>
        <v>LRM239</v>
      </c>
      <c r="G167" s="7" t="str">
        <f ca="1">IFERROR(__xludf.DUMMYFUNCTION("""COMPUTED_VALUE"""),"Lisandro Russian")</f>
        <v>Lisandro Russian</v>
      </c>
      <c r="R167" s="7"/>
    </row>
    <row r="168" spans="5:18">
      <c r="E168" s="7" t="str">
        <f ca="1">IFERROR(__xludf.DUMMYFUNCTION("""COMPUTED_VALUE"""),"Carlos Barrera Blázquez")</f>
        <v>Carlos Barrera Blázquez</v>
      </c>
      <c r="F168" s="7" t="str">
        <f ca="1">IFERROR(__xludf.DUMMYFUNCTION("""COMPUTED_VALUE"""),"ISL12")</f>
        <v>ISL12</v>
      </c>
      <c r="G168" s="7" t="str">
        <f ca="1">IFERROR(__xludf.DUMMYFUNCTION("""COMPUTED_VALUE"""),"Iván Sánchez")</f>
        <v>Iván Sánchez</v>
      </c>
      <c r="R168" s="7"/>
    </row>
    <row r="169" spans="5:18">
      <c r="E169" s="7" t="str">
        <f ca="1">IFERROR(__xludf.DUMMYFUNCTION("""COMPUTED_VALUE"""),"Carlos Carazo Casas")</f>
        <v>Carlos Carazo Casas</v>
      </c>
      <c r="F169" s="7" t="str">
        <f ca="1">IFERROR(__xludf.DUMMYFUNCTION("""COMPUTED_VALUE"""),"MBM210")</f>
        <v>MBM210</v>
      </c>
      <c r="G169" s="7" t="str">
        <f ca="1">IFERROR(__xludf.DUMMYFUNCTION("""COMPUTED_VALUE"""),"Maika Blázquez")</f>
        <v>Maika Blázquez</v>
      </c>
      <c r="R169" s="7"/>
    </row>
    <row r="170" spans="5:18">
      <c r="E170" s="7" t="str">
        <f ca="1">IFERROR(__xludf.DUMMYFUNCTION("""COMPUTED_VALUE"""),"Carlos De La Fuente Jambrina")</f>
        <v>Carlos De La Fuente Jambrina</v>
      </c>
      <c r="F170" s="7" t="str">
        <f ca="1">IFERROR(__xludf.DUMMYFUNCTION("""COMPUTED_VALUE"""),"ISL13")</f>
        <v>ISL13</v>
      </c>
      <c r="G170" s="7" t="str">
        <f ca="1">IFERROR(__xludf.DUMMYFUNCTION("""COMPUTED_VALUE"""),"Iván Sánchez")</f>
        <v>Iván Sánchez</v>
      </c>
      <c r="R170" s="7"/>
    </row>
    <row r="171" spans="5:18">
      <c r="E171" s="7" t="str">
        <f ca="1">IFERROR(__xludf.DUMMYFUNCTION("""COMPUTED_VALUE"""),"Carlos De Paula Vernetta")</f>
        <v>Carlos De Paula Vernetta</v>
      </c>
      <c r="F171" s="7" t="str">
        <f ca="1">IFERROR(__xludf.DUMMYFUNCTION("""COMPUTED_VALUE"""),"RFV39")</f>
        <v>RFV39</v>
      </c>
      <c r="G171" s="7" t="str">
        <f ca="1">IFERROR(__xludf.DUMMYFUNCTION("""COMPUTED_VALUE"""),"Ramon Ferrando")</f>
        <v>Ramon Ferrando</v>
      </c>
      <c r="R171" s="7"/>
    </row>
    <row r="172" spans="5:18">
      <c r="E172" s="7" t="str">
        <f ca="1">IFERROR(__xludf.DUMMYFUNCTION("""COMPUTED_VALUE"""),"Carlos Durán Díez")</f>
        <v>Carlos Durán Díez</v>
      </c>
      <c r="F172" s="7" t="str">
        <f ca="1">IFERROR(__xludf.DUMMYFUNCTION("""COMPUTED_VALUE"""),"PSC04")</f>
        <v>PSC04</v>
      </c>
      <c r="G172" s="7" t="str">
        <f ca="1">IFERROR(__xludf.DUMMYFUNCTION("""COMPUTED_VALUE"""),"Patricia Solache")</f>
        <v>Patricia Solache</v>
      </c>
      <c r="R172" s="7"/>
    </row>
    <row r="173" spans="5:18">
      <c r="E173" s="7" t="str">
        <f ca="1">IFERROR(__xludf.DUMMYFUNCTION("""COMPUTED_VALUE"""),"Carlos Félix Asensio Nieto")</f>
        <v>Carlos Félix Asensio Nieto</v>
      </c>
      <c r="F173" s="7" t="str">
        <f ca="1">IFERROR(__xludf.DUMMYFUNCTION("""COMPUTED_VALUE"""),"LRM20")</f>
        <v>LRM20</v>
      </c>
      <c r="G173" s="7" t="str">
        <f ca="1">IFERROR(__xludf.DUMMYFUNCTION("""COMPUTED_VALUE"""),"Lisandro Russian")</f>
        <v>Lisandro Russian</v>
      </c>
      <c r="R173" s="7"/>
    </row>
    <row r="174" spans="5:18">
      <c r="E174" s="7" t="str">
        <f ca="1">IFERROR(__xludf.DUMMYFUNCTION("""COMPUTED_VALUE"""),"Carlos Fernández Vélez")</f>
        <v>Carlos Fernández Vélez</v>
      </c>
      <c r="F174" s="7" t="str">
        <f ca="1">IFERROR(__xludf.DUMMYFUNCTION("""COMPUTED_VALUE"""),"LAA04")</f>
        <v>LAA04</v>
      </c>
      <c r="G174" s="7" t="str">
        <f ca="1">IFERROR(__xludf.DUMMYFUNCTION("""COMPUTED_VALUE"""),"Luis Alberto Rodríguez")</f>
        <v>Luis Alberto Rodríguez</v>
      </c>
      <c r="R174" s="7"/>
    </row>
    <row r="175" spans="5:18">
      <c r="E175" s="7" t="str">
        <f ca="1">IFERROR(__xludf.DUMMYFUNCTION("""COMPUTED_VALUE"""),"Carlos Fernández-Navarro García")</f>
        <v>Carlos Fernández-Navarro García</v>
      </c>
      <c r="F175" s="7" t="str">
        <f ca="1">IFERROR(__xludf.DUMMYFUNCTION("""COMPUTED_VALUE"""),"MBM211")</f>
        <v>MBM211</v>
      </c>
      <c r="G175" s="7" t="str">
        <f ca="1">IFERROR(__xludf.DUMMYFUNCTION("""COMPUTED_VALUE"""),"Maika Blázquez")</f>
        <v>Maika Blázquez</v>
      </c>
      <c r="R175" s="7"/>
    </row>
    <row r="176" spans="5:18">
      <c r="E176" s="7" t="str">
        <f ca="1">IFERROR(__xludf.DUMMYFUNCTION("""COMPUTED_VALUE"""),"Carlos Frade González")</f>
        <v>Carlos Frade González</v>
      </c>
      <c r="F176" s="7" t="str">
        <f ca="1">IFERROR(__xludf.DUMMYFUNCTION("""COMPUTED_VALUE"""),"RPG07")</f>
        <v>RPG07</v>
      </c>
      <c r="G176" s="7" t="str">
        <f ca="1">IFERROR(__xludf.DUMMYFUNCTION("""COMPUTED_VALUE"""),"Roberto Pereira")</f>
        <v>Roberto Pereira</v>
      </c>
      <c r="R176" s="7"/>
    </row>
    <row r="177" spans="5:18">
      <c r="E177" s="7" t="str">
        <f ca="1">IFERROR(__xludf.DUMMYFUNCTION("""COMPUTED_VALUE"""),"Carlos García Herrera")</f>
        <v>Carlos García Herrera</v>
      </c>
      <c r="F177" s="7" t="str">
        <f ca="1">IFERROR(__xludf.DUMMYFUNCTION("""COMPUTED_VALUE"""),"LAA05")</f>
        <v>LAA05</v>
      </c>
      <c r="G177" s="7" t="str">
        <f ca="1">IFERROR(__xludf.DUMMYFUNCTION("""COMPUTED_VALUE"""),"Luis Alberto Rodríguez")</f>
        <v>Luis Alberto Rodríguez</v>
      </c>
      <c r="R177" s="7"/>
    </row>
    <row r="178" spans="5:18">
      <c r="E178" s="7" t="str">
        <f ca="1">IFERROR(__xludf.DUMMYFUNCTION("""COMPUTED_VALUE"""),"Carlos García Recio")</f>
        <v>Carlos García Recio</v>
      </c>
      <c r="F178" s="7" t="str">
        <f ca="1">IFERROR(__xludf.DUMMYFUNCTION("""COMPUTED_VALUE"""),"MBM13")</f>
        <v>MBM13</v>
      </c>
      <c r="G178" s="7" t="str">
        <f ca="1">IFERROR(__xludf.DUMMYFUNCTION("""COMPUTED_VALUE"""),"Maika Blázquez")</f>
        <v>Maika Blázquez</v>
      </c>
      <c r="R178" s="7"/>
    </row>
    <row r="179" spans="5:18">
      <c r="E179" s="7" t="str">
        <f ca="1">IFERROR(__xludf.DUMMYFUNCTION("""COMPUTED_VALUE"""),"Carlos López Azanza")</f>
        <v>Carlos López Azanza</v>
      </c>
      <c r="F179" s="7" t="str">
        <f ca="1">IFERROR(__xludf.DUMMYFUNCTION("""COMPUTED_VALUE"""),"PSC05")</f>
        <v>PSC05</v>
      </c>
      <c r="G179" s="7" t="str">
        <f ca="1">IFERROR(__xludf.DUMMYFUNCTION("""COMPUTED_VALUE"""),"Patricia Solache")</f>
        <v>Patricia Solache</v>
      </c>
      <c r="R179" s="7"/>
    </row>
    <row r="180" spans="5:18">
      <c r="E180" s="7" t="str">
        <f ca="1">IFERROR(__xludf.DUMMYFUNCTION("""COMPUTED_VALUE"""),"Carlos Martín Martín")</f>
        <v>Carlos Martín Martín</v>
      </c>
      <c r="F180" s="7" t="str">
        <f ca="1">IFERROR(__xludf.DUMMYFUNCTION("""COMPUTED_VALUE"""),"RPG08")</f>
        <v>RPG08</v>
      </c>
      <c r="G180" s="7" t="str">
        <f ca="1">IFERROR(__xludf.DUMMYFUNCTION("""COMPUTED_VALUE"""),"Roberto Pereira")</f>
        <v>Roberto Pereira</v>
      </c>
      <c r="R180" s="7"/>
    </row>
    <row r="181" spans="5:18">
      <c r="E181" s="7" t="str">
        <f ca="1">IFERROR(__xludf.DUMMYFUNCTION("""COMPUTED_VALUE"""),"Carlos Martín Oviedo")</f>
        <v>Carlos Martín Oviedo</v>
      </c>
      <c r="F181" s="7" t="str">
        <f ca="1">IFERROR(__xludf.DUMMYFUNCTION("""COMPUTED_VALUE"""),"MBM14")</f>
        <v>MBM14</v>
      </c>
      <c r="G181" s="7" t="str">
        <f ca="1">IFERROR(__xludf.DUMMYFUNCTION("""COMPUTED_VALUE"""),"Maika Blázquez")</f>
        <v>Maika Blázquez</v>
      </c>
      <c r="R181" s="7"/>
    </row>
    <row r="182" spans="5:18">
      <c r="E182" s="7" t="str">
        <f ca="1">IFERROR(__xludf.DUMMYFUNCTION("""COMPUTED_VALUE"""),"Carlos Martínez-Arrarás Pérez")</f>
        <v>Carlos Martínez-Arrarás Pérez</v>
      </c>
      <c r="F182" s="7" t="str">
        <f ca="1">IFERROR(__xludf.DUMMYFUNCTION("""COMPUTED_VALUE"""),"LRM21")</f>
        <v>LRM21</v>
      </c>
      <c r="G182" s="7" t="str">
        <f ca="1">IFERROR(__xludf.DUMMYFUNCTION("""COMPUTED_VALUE"""),"Lisandro Russian")</f>
        <v>Lisandro Russian</v>
      </c>
      <c r="R182" s="7"/>
    </row>
    <row r="183" spans="5:18">
      <c r="E183" s="7" t="str">
        <f ca="1">IFERROR(__xludf.DUMMYFUNCTION("""COMPUTED_VALUE"""),"Carlos Mercadal Tallada")</f>
        <v>Carlos Mercadal Tallada</v>
      </c>
      <c r="F183" s="7" t="str">
        <f ca="1">IFERROR(__xludf.DUMMYFUNCTION("""COMPUTED_VALUE"""),"LRM22")</f>
        <v>LRM22</v>
      </c>
      <c r="G183" s="7" t="str">
        <f ca="1">IFERROR(__xludf.DUMMYFUNCTION("""COMPUTED_VALUE"""),"Lisandro Russian")</f>
        <v>Lisandro Russian</v>
      </c>
      <c r="R183" s="7"/>
    </row>
    <row r="184" spans="5:18">
      <c r="E184" s="7" t="str">
        <f ca="1">IFERROR(__xludf.DUMMYFUNCTION("""COMPUTED_VALUE"""),"Carlos Miguel Salvador Martínez")</f>
        <v>Carlos Miguel Salvador Martínez</v>
      </c>
      <c r="F184" s="7" t="str">
        <f ca="1">IFERROR(__xludf.DUMMYFUNCTION("""COMPUTED_VALUE"""),"PSC06")</f>
        <v>PSC06</v>
      </c>
      <c r="G184" s="7" t="str">
        <f ca="1">IFERROR(__xludf.DUMMYFUNCTION("""COMPUTED_VALUE"""),"Patricia Solache")</f>
        <v>Patricia Solache</v>
      </c>
      <c r="R184" s="7"/>
    </row>
    <row r="185" spans="5:18">
      <c r="E185" s="7" t="str">
        <f ca="1">IFERROR(__xludf.DUMMYFUNCTION("""COMPUTED_VALUE"""),"Carlos Montero García")</f>
        <v>Carlos Montero García</v>
      </c>
      <c r="F185" s="7" t="str">
        <f ca="1">IFERROR(__xludf.DUMMYFUNCTION("""COMPUTED_VALUE"""),"LRM259")</f>
        <v>LRM259</v>
      </c>
      <c r="G185" s="7" t="str">
        <f ca="1">IFERROR(__xludf.DUMMYFUNCTION("""COMPUTED_VALUE"""),"Lisandro Russian")</f>
        <v>Lisandro Russian</v>
      </c>
      <c r="R185" s="7"/>
    </row>
    <row r="186" spans="5:18">
      <c r="E186" s="7" t="str">
        <f ca="1">IFERROR(__xludf.DUMMYFUNCTION("""COMPUTED_VALUE"""),"Carlos Velásquez Fermín")</f>
        <v>Carlos Velásquez Fermín</v>
      </c>
      <c r="F186" s="7" t="str">
        <f ca="1">IFERROR(__xludf.DUMMYFUNCTION("""COMPUTED_VALUE"""),"ISL14")</f>
        <v>ISL14</v>
      </c>
      <c r="G186" s="7" t="str">
        <f ca="1">IFERROR(__xludf.DUMMYFUNCTION("""COMPUTED_VALUE"""),"Iván Sánchez")</f>
        <v>Iván Sánchez</v>
      </c>
      <c r="R186" s="7"/>
    </row>
    <row r="187" spans="5:18">
      <c r="E187" s="7" t="str">
        <f ca="1">IFERROR(__xludf.DUMMYFUNCTION("""COMPUTED_VALUE"""),"Carlos Vidal Redondo")</f>
        <v>Carlos Vidal Redondo</v>
      </c>
      <c r="F187" s="7" t="str">
        <f ca="1">IFERROR(__xludf.DUMMYFUNCTION("""COMPUTED_VALUE"""),"RPG09")</f>
        <v>RPG09</v>
      </c>
      <c r="G187" s="7" t="str">
        <f ca="1">IFERROR(__xludf.DUMMYFUNCTION("""COMPUTED_VALUE"""),"Roberto Pereira")</f>
        <v>Roberto Pereira</v>
      </c>
      <c r="R187" s="7"/>
    </row>
    <row r="188" spans="5:18">
      <c r="E188" s="7" t="str">
        <f ca="1">IFERROR(__xludf.DUMMYFUNCTION("""COMPUTED_VALUE"""),"Carlos Villacampa")</f>
        <v>Carlos Villacampa</v>
      </c>
      <c r="F188" s="7" t="str">
        <f ca="1">IFERROR(__xludf.DUMMYFUNCTION("""COMPUTED_VALUE"""),"LRM23")</f>
        <v>LRM23</v>
      </c>
      <c r="G188" s="7" t="str">
        <f ca="1">IFERROR(__xludf.DUMMYFUNCTION("""COMPUTED_VALUE"""),"Lisandro Russian")</f>
        <v>Lisandro Russian</v>
      </c>
      <c r="R188" s="7"/>
    </row>
    <row r="189" spans="5:18">
      <c r="E189" s="7" t="str">
        <f ca="1">IFERROR(__xludf.DUMMYFUNCTION("""COMPUTED_VALUE"""),"Carlota Sevil Serrano")</f>
        <v>Carlota Sevil Serrano</v>
      </c>
      <c r="F189" s="7" t="str">
        <f ca="1">IFERROR(__xludf.DUMMYFUNCTION("""COMPUTED_VALUE"""),"MBM98")</f>
        <v>MBM98</v>
      </c>
      <c r="G189" s="7" t="str">
        <f ca="1">IFERROR(__xludf.DUMMYFUNCTION("""COMPUTED_VALUE"""),"Maika Blázquez")</f>
        <v>Maika Blázquez</v>
      </c>
      <c r="R189" s="7"/>
    </row>
    <row r="190" spans="5:18">
      <c r="E190" s="7" t="str">
        <f ca="1">IFERROR(__xludf.DUMMYFUNCTION("""COMPUTED_VALUE"""),"Carmen Aránzazu Pérez Fernández")</f>
        <v>Carmen Aránzazu Pérez Fernández</v>
      </c>
      <c r="F190" s="7" t="str">
        <f ca="1">IFERROR(__xludf.DUMMYFUNCTION("""COMPUTED_VALUE"""),"ISL143")</f>
        <v>ISL143</v>
      </c>
      <c r="G190" s="7" t="str">
        <f ca="1">IFERROR(__xludf.DUMMYFUNCTION("""COMPUTED_VALUE"""),"Iván Sánchez")</f>
        <v>Iván Sánchez</v>
      </c>
      <c r="R190" s="7"/>
    </row>
    <row r="191" spans="5:18">
      <c r="E191" s="7" t="str">
        <f ca="1">IFERROR(__xludf.DUMMYFUNCTION("""COMPUTED_VALUE"""),"Carmen Becares Martinez")</f>
        <v>Carmen Becares Martinez</v>
      </c>
      <c r="F191" s="7" t="str">
        <f ca="1">IFERROR(__xludf.DUMMYFUNCTION("""COMPUTED_VALUE"""),"PSC34")</f>
        <v>PSC34</v>
      </c>
      <c r="G191" s="7" t="str">
        <f ca="1">IFERROR(__xludf.DUMMYFUNCTION("""COMPUTED_VALUE"""),"Patricia Solache")</f>
        <v>Patricia Solache</v>
      </c>
      <c r="R191" s="7"/>
    </row>
    <row r="192" spans="5:18">
      <c r="E192" s="7" t="str">
        <f ca="1">IFERROR(__xludf.DUMMYFUNCTION("""COMPUTED_VALUE"""),"Carmen Comeche Cerverón")</f>
        <v>Carmen Comeche Cerverón</v>
      </c>
      <c r="F192" s="7" t="str">
        <f ca="1">IFERROR(__xludf.DUMMYFUNCTION("""COMPUTED_VALUE"""),"RFV27")</f>
        <v>RFV27</v>
      </c>
      <c r="G192" s="7" t="str">
        <f ca="1">IFERROR(__xludf.DUMMYFUNCTION("""COMPUTED_VALUE"""),"Ramon Ferrando")</f>
        <v>Ramon Ferrando</v>
      </c>
      <c r="R192" s="7"/>
    </row>
    <row r="193" spans="5:18">
      <c r="E193" s="7" t="str">
        <f ca="1">IFERROR(__xludf.DUMMYFUNCTION("""COMPUTED_VALUE"""),"Carmen Delgado Muñoz")</f>
        <v>Carmen Delgado Muñoz</v>
      </c>
      <c r="F193" s="7" t="str">
        <f ca="1">IFERROR(__xludf.DUMMYFUNCTION("""COMPUTED_VALUE"""),"LRM264")</f>
        <v>LRM264</v>
      </c>
      <c r="G193" s="7" t="str">
        <f ca="1">IFERROR(__xludf.DUMMYFUNCTION("""COMPUTED_VALUE"""),"Lisandro Russian")</f>
        <v>Lisandro Russian</v>
      </c>
      <c r="R193" s="7"/>
    </row>
    <row r="194" spans="5:18">
      <c r="E194" s="7" t="str">
        <f ca="1">IFERROR(__xludf.DUMMYFUNCTION("""COMPUTED_VALUE"""),"Carmen Fernández-Cedrón Bermejo")</f>
        <v>Carmen Fernández-Cedrón Bermejo</v>
      </c>
      <c r="F194" s="7" t="str">
        <f ca="1">IFERROR(__xludf.DUMMYFUNCTION("""COMPUTED_VALUE"""),"PSC35")</f>
        <v>PSC35</v>
      </c>
      <c r="G194" s="7" t="str">
        <f ca="1">IFERROR(__xludf.DUMMYFUNCTION("""COMPUTED_VALUE"""),"Patricia Solache")</f>
        <v>Patricia Solache</v>
      </c>
      <c r="R194" s="7"/>
    </row>
    <row r="195" spans="5:18">
      <c r="E195" s="7" t="str">
        <f ca="1">IFERROR(__xludf.DUMMYFUNCTION("""COMPUTED_VALUE"""),"Carmen Hernández Torres")</f>
        <v>Carmen Hernández Torres</v>
      </c>
      <c r="F195" s="7" t="str">
        <f ca="1">IFERROR(__xludf.DUMMYFUNCTION("""COMPUTED_VALUE"""),"LAA69")</f>
        <v>LAA69</v>
      </c>
      <c r="G195" s="7" t="str">
        <f ca="1">IFERROR(__xludf.DUMMYFUNCTION("""COMPUTED_VALUE"""),"Luis Alberto Rodríguez")</f>
        <v>Luis Alberto Rodríguez</v>
      </c>
      <c r="R195" s="7"/>
    </row>
    <row r="196" spans="5:18">
      <c r="E196" s="7" t="str">
        <f ca="1">IFERROR(__xludf.DUMMYFUNCTION("""COMPUTED_VALUE"""),"Carmen Juan Ivars")</f>
        <v>Carmen Juan Ivars</v>
      </c>
      <c r="F196" s="7" t="str">
        <f ca="1">IFERROR(__xludf.DUMMYFUNCTION("""COMPUTED_VALUE"""),"MBM99")</f>
        <v>MBM99</v>
      </c>
      <c r="G196" s="7" t="str">
        <f ca="1">IFERROR(__xludf.DUMMYFUNCTION("""COMPUTED_VALUE"""),"Maika Blázquez")</f>
        <v>Maika Blázquez</v>
      </c>
      <c r="R196" s="7"/>
    </row>
    <row r="197" spans="5:18">
      <c r="E197" s="7" t="str">
        <f ca="1">IFERROR(__xludf.DUMMYFUNCTION("""COMPUTED_VALUE"""),"Carmen Manzanares López-Rendo")</f>
        <v>Carmen Manzanares López-Rendo</v>
      </c>
      <c r="F197" s="7" t="str">
        <f ca="1">IFERROR(__xludf.DUMMYFUNCTION("""COMPUTED_VALUE"""),"AMM25")</f>
        <v>AMM25</v>
      </c>
      <c r="G197" s="7" t="str">
        <f ca="1">IFERROR(__xludf.DUMMYFUNCTION("""COMPUTED_VALUE"""),"Alberto Moreno")</f>
        <v>Alberto Moreno</v>
      </c>
      <c r="R197" s="7"/>
    </row>
    <row r="198" spans="5:18">
      <c r="E198" s="7" t="str">
        <f ca="1">IFERROR(__xludf.DUMMYFUNCTION("""COMPUTED_VALUE"""),"Carmen Martín Marcos")</f>
        <v>Carmen Martín Marcos</v>
      </c>
      <c r="F198" s="7" t="str">
        <f ca="1">IFERROR(__xludf.DUMMYFUNCTION("""COMPUTED_VALUE"""),"LRM142")</f>
        <v>LRM142</v>
      </c>
      <c r="G198" s="7" t="str">
        <f ca="1">IFERROR(__xludf.DUMMYFUNCTION("""COMPUTED_VALUE"""),"Lisandro Russian")</f>
        <v>Lisandro Russian</v>
      </c>
      <c r="R198" s="7"/>
    </row>
    <row r="199" spans="5:18">
      <c r="E199" s="7" t="str">
        <f ca="1">IFERROR(__xludf.DUMMYFUNCTION("""COMPUTED_VALUE"""),"Carmen Muñoz Calahorro")</f>
        <v>Carmen Muñoz Calahorro</v>
      </c>
      <c r="F199" s="7" t="str">
        <f ca="1">IFERROR(__xludf.DUMMYFUNCTION("""COMPUTED_VALUE"""),"LRM143")</f>
        <v>LRM143</v>
      </c>
      <c r="G199" s="7" t="str">
        <f ca="1">IFERROR(__xludf.DUMMYFUNCTION("""COMPUTED_VALUE"""),"Lisandro Russian")</f>
        <v>Lisandro Russian</v>
      </c>
      <c r="R199" s="7"/>
    </row>
    <row r="200" spans="5:18">
      <c r="E200" s="7" t="str">
        <f ca="1">IFERROR(__xludf.DUMMYFUNCTION("""COMPUTED_VALUE"""),"Carmen Ruiz Garcia")</f>
        <v>Carmen Ruiz Garcia</v>
      </c>
      <c r="F200" s="7" t="str">
        <f ca="1">IFERROR(__xludf.DUMMYFUNCTION("""COMPUTED_VALUE"""),"LRM144")</f>
        <v>LRM144</v>
      </c>
      <c r="G200" s="7" t="str">
        <f ca="1">IFERROR(__xludf.DUMMYFUNCTION("""COMPUTED_VALUE"""),"Lisandro Russian")</f>
        <v>Lisandro Russian</v>
      </c>
      <c r="R200" s="7"/>
    </row>
    <row r="201" spans="5:18">
      <c r="E201" s="7" t="str">
        <f ca="1">IFERROR(__xludf.DUMMYFUNCTION("""COMPUTED_VALUE"""),"Carmen Salazar Cabrera")</f>
        <v>Carmen Salazar Cabrera</v>
      </c>
      <c r="F201" s="7" t="str">
        <f ca="1">IFERROR(__xludf.DUMMYFUNCTION("""COMPUTED_VALUE"""),"LRM145")</f>
        <v>LRM145</v>
      </c>
      <c r="G201" s="7" t="str">
        <f ca="1">IFERROR(__xludf.DUMMYFUNCTION("""COMPUTED_VALUE"""),"Lisandro Russian")</f>
        <v>Lisandro Russian</v>
      </c>
      <c r="R201" s="7"/>
    </row>
    <row r="202" spans="5:18">
      <c r="E202" s="7" t="str">
        <f ca="1">IFERROR(__xludf.DUMMYFUNCTION("""COMPUTED_VALUE"""),"Carmen Vallés Rodríguez")</f>
        <v>Carmen Vallés Rodríguez</v>
      </c>
      <c r="F202" s="7" t="str">
        <f ca="1">IFERROR(__xludf.DUMMYFUNCTION("""COMPUTED_VALUE"""),"PSC36")</f>
        <v>PSC36</v>
      </c>
      <c r="G202" s="7" t="str">
        <f ca="1">IFERROR(__xludf.DUMMYFUNCTION("""COMPUTED_VALUE"""),"Patricia Solache")</f>
        <v>Patricia Solache</v>
      </c>
      <c r="R202" s="7"/>
    </row>
    <row r="203" spans="5:18">
      <c r="E203" s="7" t="str">
        <f ca="1">IFERROR(__xludf.DUMMYFUNCTION("""COMPUTED_VALUE"""),"Carmen Viñolas González")</f>
        <v>Carmen Viñolas González</v>
      </c>
      <c r="F203" s="7" t="str">
        <f ca="1">IFERROR(__xludf.DUMMYFUNCTION("""COMPUTED_VALUE"""),"LRM146")</f>
        <v>LRM146</v>
      </c>
      <c r="G203" s="7" t="str">
        <f ca="1">IFERROR(__xludf.DUMMYFUNCTION("""COMPUTED_VALUE"""),"Lisandro Russian")</f>
        <v>Lisandro Russian</v>
      </c>
      <c r="R203" s="7"/>
    </row>
    <row r="204" spans="5:18">
      <c r="E204" s="7" t="str">
        <f ca="1">IFERROR(__xludf.DUMMYFUNCTION("""COMPUTED_VALUE"""),"Carolina Vidal Martínez")</f>
        <v>Carolina Vidal Martínez</v>
      </c>
      <c r="F204" s="7" t="str">
        <f ca="1">IFERROR(__xludf.DUMMYFUNCTION("""COMPUTED_VALUE"""),"LRM147")</f>
        <v>LRM147</v>
      </c>
      <c r="G204" s="7" t="str">
        <f ca="1">IFERROR(__xludf.DUMMYFUNCTION("""COMPUTED_VALUE"""),"Lisandro Russian")</f>
        <v>Lisandro Russian</v>
      </c>
      <c r="R204" s="7"/>
    </row>
    <row r="205" spans="5:18">
      <c r="E205" s="7" t="str">
        <f ca="1">IFERROR(__xludf.DUMMYFUNCTION("""COMPUTED_VALUE"""),"Catalina Riera Sala")</f>
        <v>Catalina Riera Sala</v>
      </c>
      <c r="F205" s="7" t="str">
        <f ca="1">IFERROR(__xludf.DUMMYFUNCTION("""COMPUTED_VALUE"""),"LAA84")</f>
        <v>LAA84</v>
      </c>
      <c r="G205" s="7" t="str">
        <f ca="1">IFERROR(__xludf.DUMMYFUNCTION("""COMPUTED_VALUE"""),"Luis Alberto Rodríguez")</f>
        <v>Luis Alberto Rodríguez</v>
      </c>
      <c r="R205" s="7"/>
    </row>
    <row r="206" spans="5:18">
      <c r="E206" s="7" t="str">
        <f ca="1">IFERROR(__xludf.DUMMYFUNCTION("""COMPUTED_VALUE"""),"Cayetana López Ladrón García De La Borbolla")</f>
        <v>Cayetana López Ladrón García De La Borbolla</v>
      </c>
      <c r="F206" s="7" t="str">
        <f ca="1">IFERROR(__xludf.DUMMYFUNCTION("""COMPUTED_VALUE"""),"LAA44")</f>
        <v>LAA44</v>
      </c>
      <c r="G206" s="7" t="str">
        <f ca="1">IFERROR(__xludf.DUMMYFUNCTION("""COMPUTED_VALUE"""),"Luis Alberto Rodríguez")</f>
        <v>Luis Alberto Rodríguez</v>
      </c>
      <c r="R206" s="7"/>
    </row>
    <row r="207" spans="5:18">
      <c r="E207" s="7" t="str">
        <f ca="1">IFERROR(__xludf.DUMMYFUNCTION("""COMPUTED_VALUE"""),"Cecilia Pérez Martínez")</f>
        <v>Cecilia Pérez Martínez</v>
      </c>
      <c r="F207" s="7" t="str">
        <f ca="1">IFERROR(__xludf.DUMMYFUNCTION("""COMPUTED_VALUE"""),"MBM100")</f>
        <v>MBM100</v>
      </c>
      <c r="G207" s="7" t="str">
        <f ca="1">IFERROR(__xludf.DUMMYFUNCTION("""COMPUTED_VALUE"""),"Maika Blázquez")</f>
        <v>Maika Blázquez</v>
      </c>
      <c r="R207" s="7"/>
    </row>
    <row r="208" spans="5:18">
      <c r="E208" s="7" t="str">
        <f ca="1">IFERROR(__xludf.DUMMYFUNCTION("""COMPUTED_VALUE"""),"Celia Lendorio Otero")</f>
        <v>Celia Lendorio Otero</v>
      </c>
      <c r="F208" s="7" t="str">
        <f ca="1">IFERROR(__xludf.DUMMYFUNCTION("""COMPUTED_VALUE"""),"RPG40")</f>
        <v>RPG40</v>
      </c>
      <c r="G208" s="7" t="str">
        <f ca="1">IFERROR(__xludf.DUMMYFUNCTION("""COMPUTED_VALUE"""),"Roberto Pereira")</f>
        <v>Roberto Pereira</v>
      </c>
      <c r="R208" s="7"/>
    </row>
    <row r="209" spans="5:18">
      <c r="E209" s="7" t="str">
        <f ca="1">IFERROR(__xludf.DUMMYFUNCTION("""COMPUTED_VALUE"""),"Celia López Molla")</f>
        <v>Celia López Molla</v>
      </c>
      <c r="F209" s="7" t="str">
        <f ca="1">IFERROR(__xludf.DUMMYFUNCTION("""COMPUTED_VALUE"""),"RFV28")</f>
        <v>RFV28</v>
      </c>
      <c r="G209" s="7" t="str">
        <f ca="1">IFERROR(__xludf.DUMMYFUNCTION("""COMPUTED_VALUE"""),"Ramon Ferrando")</f>
        <v>Ramon Ferrando</v>
      </c>
      <c r="R209" s="7"/>
    </row>
    <row r="210" spans="5:18">
      <c r="E210" s="7" t="str">
        <f ca="1">IFERROR(__xludf.DUMMYFUNCTION("""COMPUTED_VALUE"""),"César Charles Martínez")</f>
        <v>César Charles Martínez</v>
      </c>
      <c r="F210" s="7" t="str">
        <f ca="1">IFERROR(__xludf.DUMMYFUNCTION("""COMPUTED_VALUE"""),"MBM15")</f>
        <v>MBM15</v>
      </c>
      <c r="G210" s="7" t="str">
        <f ca="1">IFERROR(__xludf.DUMMYFUNCTION("""COMPUTED_VALUE"""),"Maika Blázquez")</f>
        <v>Maika Blázquez</v>
      </c>
      <c r="R210" s="7"/>
    </row>
    <row r="211" spans="5:18">
      <c r="E211" s="7" t="str">
        <f ca="1">IFERROR(__xludf.DUMMYFUNCTION("""COMPUTED_VALUE"""),"Charo de Saa Alvarez")</f>
        <v>Charo de Saa Alvarez</v>
      </c>
      <c r="F211" s="7" t="str">
        <f ca="1">IFERROR(__xludf.DUMMYFUNCTION("""COMPUTED_VALUE"""),"LRM148")</f>
        <v>LRM148</v>
      </c>
      <c r="G211" s="7" t="str">
        <f ca="1">IFERROR(__xludf.DUMMYFUNCTION("""COMPUTED_VALUE"""),"Lisandro Russian")</f>
        <v>Lisandro Russian</v>
      </c>
      <c r="R211" s="7"/>
    </row>
    <row r="212" spans="5:18">
      <c r="E212" s="7" t="str">
        <f ca="1">IFERROR(__xludf.DUMMYFUNCTION("""COMPUTED_VALUE"""),"Christian Ezequiel Calvo Henríquez")</f>
        <v>Christian Ezequiel Calvo Henríquez</v>
      </c>
      <c r="F212" s="7" t="str">
        <f ca="1">IFERROR(__xludf.DUMMYFUNCTION("""COMPUTED_VALUE"""),"RPG10")</f>
        <v>RPG10</v>
      </c>
      <c r="G212" s="7" t="str">
        <f ca="1">IFERROR(__xludf.DUMMYFUNCTION("""COMPUTED_VALUE"""),"Roberto Pereira")</f>
        <v>Roberto Pereira</v>
      </c>
      <c r="R212" s="7"/>
    </row>
    <row r="213" spans="5:18">
      <c r="E213" s="7" t="str">
        <f ca="1">IFERROR(__xludf.DUMMYFUNCTION("""COMPUTED_VALUE"""),"Clara Beltrán Yturriaga")</f>
        <v>Clara Beltrán Yturriaga</v>
      </c>
      <c r="F213" s="7" t="str">
        <f ca="1">IFERROR(__xludf.DUMMYFUNCTION("""COMPUTED_VALUE"""),"MBM101")</f>
        <v>MBM101</v>
      </c>
      <c r="G213" s="7" t="str">
        <f ca="1">IFERROR(__xludf.DUMMYFUNCTION("""COMPUTED_VALUE"""),"Maika Blázquez")</f>
        <v>Maika Blázquez</v>
      </c>
      <c r="R213" s="7"/>
    </row>
    <row r="214" spans="5:18">
      <c r="E214" s="7" t="str">
        <f ca="1">IFERROR(__xludf.DUMMYFUNCTION("""COMPUTED_VALUE"""),"Clara Espina González")</f>
        <v>Clara Espina González</v>
      </c>
      <c r="F214" s="7" t="str">
        <f ca="1">IFERROR(__xludf.DUMMYFUNCTION("""COMPUTED_VALUE"""),"MCC03")</f>
        <v>MCC03</v>
      </c>
      <c r="G214" s="7" t="str">
        <f ca="1">IFERROR(__xludf.DUMMYFUNCTION("""COMPUTED_VALUE"""),"Mercè Cabrera")</f>
        <v>Mercè Cabrera</v>
      </c>
      <c r="R214" s="7"/>
    </row>
    <row r="215" spans="5:18">
      <c r="E215" s="7" t="str">
        <f ca="1">IFERROR(__xludf.DUMMYFUNCTION("""COMPUTED_VALUE"""),"Clara García Bastida")</f>
        <v>Clara García Bastida</v>
      </c>
      <c r="F215" s="7" t="str">
        <f ca="1">IFERROR(__xludf.DUMMYFUNCTION("""COMPUTED_VALUE"""),"RPG41")</f>
        <v>RPG41</v>
      </c>
      <c r="G215" s="7" t="str">
        <f ca="1">IFERROR(__xludf.DUMMYFUNCTION("""COMPUTED_VALUE"""),"Roberto Pereira")</f>
        <v>Roberto Pereira</v>
      </c>
      <c r="R215" s="7"/>
    </row>
    <row r="216" spans="5:18">
      <c r="E216" s="7" t="str">
        <f ca="1">IFERROR(__xludf.DUMMYFUNCTION("""COMPUTED_VALUE"""),"Claudia Buendía Pajares")</f>
        <v>Claudia Buendía Pajares</v>
      </c>
      <c r="F216" s="7" t="str">
        <f ca="1">IFERROR(__xludf.DUMMYFUNCTION("""COMPUTED_VALUE"""),"MBM102")</f>
        <v>MBM102</v>
      </c>
      <c r="G216" s="7" t="str">
        <f ca="1">IFERROR(__xludf.DUMMYFUNCTION("""COMPUTED_VALUE"""),"Maika Blázquez")</f>
        <v>Maika Blázquez</v>
      </c>
      <c r="R216" s="7"/>
    </row>
    <row r="217" spans="5:18">
      <c r="E217" s="7" t="str">
        <f ca="1">IFERROR(__xludf.DUMMYFUNCTION("""COMPUTED_VALUE"""),"Claudia Llorente Álvarez")</f>
        <v>Claudia Llorente Álvarez</v>
      </c>
      <c r="F217" s="7" t="str">
        <f ca="1">IFERROR(__xludf.DUMMYFUNCTION("""COMPUTED_VALUE"""),"AMM27")</f>
        <v>AMM27</v>
      </c>
      <c r="G217" s="7" t="str">
        <f ca="1">IFERROR(__xludf.DUMMYFUNCTION("""COMPUTED_VALUE"""),"Alberto Moreno")</f>
        <v>Alberto Moreno</v>
      </c>
      <c r="R217" s="7"/>
    </row>
    <row r="218" spans="5:18">
      <c r="E218" s="7" t="str">
        <f ca="1">IFERROR(__xludf.DUMMYFUNCTION("""COMPUTED_VALUE"""),"Claudia Martínez Paris")</f>
        <v>Claudia Martínez Paris</v>
      </c>
      <c r="F218" s="7" t="str">
        <f ca="1">IFERROR(__xludf.DUMMYFUNCTION("""COMPUTED_VALUE"""),"RPG42")</f>
        <v>RPG42</v>
      </c>
      <c r="G218" s="7" t="str">
        <f ca="1">IFERROR(__xludf.DUMMYFUNCTION("""COMPUTED_VALUE"""),"Roberto Pereira")</f>
        <v>Roberto Pereira</v>
      </c>
      <c r="R218" s="7"/>
    </row>
    <row r="219" spans="5:18">
      <c r="E219" s="7" t="str">
        <f ca="1">IFERROR(__xludf.DUMMYFUNCTION("""COMPUTED_VALUE"""),"Claudio Fragola Arnau")</f>
        <v>Claudio Fragola Arnau</v>
      </c>
      <c r="F219" s="7" t="str">
        <f ca="1">IFERROR(__xludf.DUMMYFUNCTION("""COMPUTED_VALUE"""),"LRM24")</f>
        <v>LRM24</v>
      </c>
      <c r="G219" s="7" t="str">
        <f ca="1">IFERROR(__xludf.DUMMYFUNCTION("""COMPUTED_VALUE"""),"Lisandro Russian")</f>
        <v>Lisandro Russian</v>
      </c>
      <c r="R219" s="7"/>
    </row>
    <row r="220" spans="5:18">
      <c r="E220" s="7" t="str">
        <f ca="1">IFERROR(__xludf.DUMMYFUNCTION("""COMPUTED_VALUE"""),"Coloma Grau Van Laak")</f>
        <v>Coloma Grau Van Laak</v>
      </c>
      <c r="F220" s="7" t="str">
        <f ca="1">IFERROR(__xludf.DUMMYFUNCTION("""COMPUTED_VALUE"""),"LRM256")</f>
        <v>LRM256</v>
      </c>
      <c r="G220" s="7" t="str">
        <f ca="1">IFERROR(__xludf.DUMMYFUNCTION("""COMPUTED_VALUE"""),"Lisandro Russian")</f>
        <v>Lisandro Russian</v>
      </c>
      <c r="R220" s="7"/>
    </row>
    <row r="221" spans="5:18">
      <c r="E221" s="7" t="str">
        <f ca="1">IFERROR(__xludf.DUMMYFUNCTION("""COMPUTED_VALUE"""),"Concepción Crespo Marco")</f>
        <v>Concepción Crespo Marco</v>
      </c>
      <c r="F221" s="7" t="str">
        <f ca="1">IFERROR(__xludf.DUMMYFUNCTION("""COMPUTED_VALUE"""),"ISL97")</f>
        <v>ISL97</v>
      </c>
      <c r="G221" s="7" t="str">
        <f ca="1">IFERROR(__xludf.DUMMYFUNCTION("""COMPUTED_VALUE"""),"Iván Sánchez")</f>
        <v>Iván Sánchez</v>
      </c>
      <c r="R221" s="7"/>
    </row>
    <row r="222" spans="5:18">
      <c r="E222" s="7" t="str">
        <f ca="1">IFERROR(__xludf.DUMMYFUNCTION("""COMPUTED_VALUE"""),"Concepción Pescador Mesonero")</f>
        <v>Concepción Pescador Mesonero</v>
      </c>
      <c r="F222" s="7" t="str">
        <f ca="1">IFERROR(__xludf.DUMMYFUNCTION("""COMPUTED_VALUE"""),"MBM103")</f>
        <v>MBM103</v>
      </c>
      <c r="G222" s="7" t="str">
        <f ca="1">IFERROR(__xludf.DUMMYFUNCTION("""COMPUTED_VALUE"""),"Maika Blázquez")</f>
        <v>Maika Blázquez</v>
      </c>
      <c r="R222" s="7"/>
    </row>
    <row r="223" spans="5:18">
      <c r="E223" s="7" t="str">
        <f ca="1">IFERROR(__xludf.DUMMYFUNCTION("""COMPUTED_VALUE"""),"Concepcion Rodríguez Izquierdo")</f>
        <v>Concepcion Rodríguez Izquierdo</v>
      </c>
      <c r="F223" s="7" t="str">
        <f ca="1">IFERROR(__xludf.DUMMYFUNCTION("""COMPUTED_VALUE"""),"MBM104")</f>
        <v>MBM104</v>
      </c>
      <c r="G223" s="7" t="str">
        <f ca="1">IFERROR(__xludf.DUMMYFUNCTION("""COMPUTED_VALUE"""),"Maika Blázquez")</f>
        <v>Maika Blázquez</v>
      </c>
      <c r="R223" s="7"/>
    </row>
    <row r="224" spans="5:18">
      <c r="E224" s="7" t="str">
        <f ca="1">IFERROR(__xludf.DUMMYFUNCTION("""COMPUTED_VALUE"""),"Cristina Alonso González")</f>
        <v>Cristina Alonso González</v>
      </c>
      <c r="F224" s="7" t="str">
        <f ca="1">IFERROR(__xludf.DUMMYFUNCTION("""COMPUTED_VALUE"""),"LAA06")</f>
        <v>LAA06</v>
      </c>
      <c r="G224" s="7" t="str">
        <f ca="1">IFERROR(__xludf.DUMMYFUNCTION("""COMPUTED_VALUE"""),"Luis Alberto Rodríguez")</f>
        <v>Luis Alberto Rodríguez</v>
      </c>
      <c r="R224" s="7"/>
    </row>
    <row r="225" spans="5:18">
      <c r="E225" s="7" t="str">
        <f ca="1">IFERROR(__xludf.DUMMYFUNCTION("""COMPUTED_VALUE"""),"Cristina Alonso Martínez")</f>
        <v>Cristina Alonso Martínez</v>
      </c>
      <c r="F225" s="7" t="str">
        <f ca="1">IFERROR(__xludf.DUMMYFUNCTION("""COMPUTED_VALUE"""),"MBM105")</f>
        <v>MBM105</v>
      </c>
      <c r="G225" s="7" t="str">
        <f ca="1">IFERROR(__xludf.DUMMYFUNCTION("""COMPUTED_VALUE"""),"Maika Blázquez")</f>
        <v>Maika Blázquez</v>
      </c>
      <c r="R225" s="7"/>
    </row>
    <row r="226" spans="5:18">
      <c r="E226" s="7" t="str">
        <f ca="1">IFERROR(__xludf.DUMMYFUNCTION("""COMPUTED_VALUE"""),"Cristina Esther Torregrosa Carrasquer")</f>
        <v>Cristina Esther Torregrosa Carrasquer</v>
      </c>
      <c r="F226" s="7" t="str">
        <f ca="1">IFERROR(__xludf.DUMMYFUNCTION("""COMPUTED_VALUE"""),"ISL98")</f>
        <v>ISL98</v>
      </c>
      <c r="G226" s="7" t="str">
        <f ca="1">IFERROR(__xludf.DUMMYFUNCTION("""COMPUTED_VALUE"""),"Iván Sánchez")</f>
        <v>Iván Sánchez</v>
      </c>
      <c r="R226" s="7"/>
    </row>
    <row r="227" spans="5:18">
      <c r="E227" s="7" t="str">
        <f ca="1">IFERROR(__xludf.DUMMYFUNCTION("""COMPUTED_VALUE"""),"Cristina Fernández García")</f>
        <v>Cristina Fernández García</v>
      </c>
      <c r="F227" s="7" t="str">
        <f ca="1">IFERROR(__xludf.DUMMYFUNCTION("""COMPUTED_VALUE"""),"MBM106")</f>
        <v>MBM106</v>
      </c>
      <c r="G227" s="7" t="str">
        <f ca="1">IFERROR(__xludf.DUMMYFUNCTION("""COMPUTED_VALUE"""),"Maika Blázquez")</f>
        <v>Maika Blázquez</v>
      </c>
      <c r="R227" s="7"/>
    </row>
    <row r="228" spans="5:18">
      <c r="E228" s="7" t="str">
        <f ca="1">IFERROR(__xludf.DUMMYFUNCTION("""COMPUTED_VALUE"""),"Cristina Fernández Jañez")</f>
        <v>Cristina Fernández Jañez</v>
      </c>
      <c r="F228" s="7" t="str">
        <f ca="1">IFERROR(__xludf.DUMMYFUNCTION("""COMPUTED_VALUE"""),"LRM150")</f>
        <v>LRM150</v>
      </c>
      <c r="G228" s="7" t="str">
        <f ca="1">IFERROR(__xludf.DUMMYFUNCTION("""COMPUTED_VALUE"""),"Lisandro Russian")</f>
        <v>Lisandro Russian</v>
      </c>
      <c r="R228" s="7"/>
    </row>
    <row r="229" spans="5:18">
      <c r="E229" s="7" t="str">
        <f ca="1">IFERROR(__xludf.DUMMYFUNCTION("""COMPUTED_VALUE"""),"Cristina García García")</f>
        <v>Cristina García García</v>
      </c>
      <c r="F229" s="7" t="str">
        <f ca="1">IFERROR(__xludf.DUMMYFUNCTION("""COMPUTED_VALUE"""),"MBM190")</f>
        <v>MBM190</v>
      </c>
      <c r="G229" s="7" t="str">
        <f ca="1">IFERROR(__xludf.DUMMYFUNCTION("""COMPUTED_VALUE"""),"Maika Blázquez")</f>
        <v>Maika Blázquez</v>
      </c>
      <c r="R229" s="7"/>
    </row>
    <row r="230" spans="5:18">
      <c r="E230" s="7" t="str">
        <f ca="1">IFERROR(__xludf.DUMMYFUNCTION("""COMPUTED_VALUE"""),"Cristina Ibañez Muñoz")</f>
        <v>Cristina Ibañez Muñoz</v>
      </c>
      <c r="F230" s="7" t="str">
        <f ca="1">IFERROR(__xludf.DUMMYFUNCTION("""COMPUTED_VALUE"""),"LRM151")</f>
        <v>LRM151</v>
      </c>
      <c r="G230" s="7" t="str">
        <f ca="1">IFERROR(__xludf.DUMMYFUNCTION("""COMPUTED_VALUE"""),"Lisandro Russian")</f>
        <v>Lisandro Russian</v>
      </c>
      <c r="R230" s="7"/>
    </row>
    <row r="231" spans="5:18">
      <c r="E231" s="7" t="str">
        <f ca="1">IFERROR(__xludf.DUMMYFUNCTION("""COMPUTED_VALUE"""),"Cristina Marín Garrido")</f>
        <v>Cristina Marín Garrido</v>
      </c>
      <c r="F231" s="7" t="str">
        <f ca="1">IFERROR(__xludf.DUMMYFUNCTION("""COMPUTED_VALUE"""),"MCC67")</f>
        <v>MCC67</v>
      </c>
      <c r="G231" s="7" t="str">
        <f ca="1">IFERROR(__xludf.DUMMYFUNCTION("""COMPUTED_VALUE"""),"Mercè Cabrera")</f>
        <v>Mercè Cabrera</v>
      </c>
      <c r="R231" s="7"/>
    </row>
    <row r="232" spans="5:18">
      <c r="E232" s="7" t="str">
        <f ca="1">IFERROR(__xludf.DUMMYFUNCTION("""COMPUTED_VALUE"""),"Cristina Martín González")</f>
        <v>Cristina Martín González</v>
      </c>
      <c r="F232" s="7" t="str">
        <f ca="1">IFERROR(__xludf.DUMMYFUNCTION("""COMPUTED_VALUE"""),"LRM152")</f>
        <v>LRM152</v>
      </c>
      <c r="G232" s="7" t="str">
        <f ca="1">IFERROR(__xludf.DUMMYFUNCTION("""COMPUTED_VALUE"""),"Lisandro Russian")</f>
        <v>Lisandro Russian</v>
      </c>
      <c r="R232" s="7"/>
    </row>
    <row r="233" spans="5:18">
      <c r="E233" s="7" t="str">
        <f ca="1">IFERROR(__xludf.DUMMYFUNCTION("""COMPUTED_VALUE"""),"Cristina Molina Martínez")</f>
        <v>Cristina Molina Martínez</v>
      </c>
      <c r="F233" s="7" t="str">
        <f ca="1">IFERROR(__xludf.DUMMYFUNCTION("""COMPUTED_VALUE"""),"MCC43")</f>
        <v>MCC43</v>
      </c>
      <c r="G233" s="7" t="str">
        <f ca="1">IFERROR(__xludf.DUMMYFUNCTION("""COMPUTED_VALUE"""),"Mercè Cabrera")</f>
        <v>Mercè Cabrera</v>
      </c>
      <c r="R233" s="7"/>
    </row>
    <row r="234" spans="5:18">
      <c r="E234" s="7" t="str">
        <f ca="1">IFERROR(__xludf.DUMMYFUNCTION("""COMPUTED_VALUE"""),"Cristina Muñoz Pinto")</f>
        <v>Cristina Muñoz Pinto</v>
      </c>
      <c r="F234" s="7" t="str">
        <f ca="1">IFERROR(__xludf.DUMMYFUNCTION("""COMPUTED_VALUE"""),"ISL99")</f>
        <v>ISL99</v>
      </c>
      <c r="G234" s="7" t="str">
        <f ca="1">IFERROR(__xludf.DUMMYFUNCTION("""COMPUTED_VALUE"""),"Iván Sánchez")</f>
        <v>Iván Sánchez</v>
      </c>
      <c r="R234" s="7"/>
    </row>
    <row r="235" spans="5:18">
      <c r="E235" s="7" t="str">
        <f ca="1">IFERROR(__xludf.DUMMYFUNCTION("""COMPUTED_VALUE"""),"Cristina Peña Cifuentes")</f>
        <v>Cristina Peña Cifuentes</v>
      </c>
      <c r="F235" s="7" t="str">
        <f ca="1">IFERROR(__xludf.DUMMYFUNCTION("""COMPUTED_VALUE"""),"MBM226")</f>
        <v>MBM226</v>
      </c>
      <c r="G235" s="7" t="str">
        <f ca="1">IFERROR(__xludf.DUMMYFUNCTION("""COMPUTED_VALUE"""),"Maika Blázquez")</f>
        <v>Maika Blázquez</v>
      </c>
      <c r="R235" s="7"/>
    </row>
    <row r="236" spans="5:18">
      <c r="E236" s="7" t="str">
        <f ca="1">IFERROR(__xludf.DUMMYFUNCTION("""COMPUTED_VALUE"""),"Cristina Povedano Fernández")</f>
        <v>Cristina Povedano Fernández</v>
      </c>
      <c r="F236" s="7" t="str">
        <f ca="1">IFERROR(__xludf.DUMMYFUNCTION("""COMPUTED_VALUE"""),"MBM107")</f>
        <v>MBM107</v>
      </c>
      <c r="G236" s="7" t="str">
        <f ca="1">IFERROR(__xludf.DUMMYFUNCTION("""COMPUTED_VALUE"""),"Maika Blázquez")</f>
        <v>Maika Blázquez</v>
      </c>
      <c r="R236" s="7"/>
    </row>
    <row r="237" spans="5:18">
      <c r="E237" s="7" t="str">
        <f ca="1">IFERROR(__xludf.DUMMYFUNCTION("""COMPUTED_VALUE"""),"Cristina Vaduva")</f>
        <v>Cristina Vaduva</v>
      </c>
      <c r="F237" s="7" t="str">
        <f ca="1">IFERROR(__xludf.DUMMYFUNCTION("""COMPUTED_VALUE"""),"MBM223")</f>
        <v>MBM223</v>
      </c>
      <c r="G237" s="7" t="str">
        <f ca="1">IFERROR(__xludf.DUMMYFUNCTION("""COMPUTED_VALUE"""),"Maika Blázquez")</f>
        <v>Maika Blázquez</v>
      </c>
      <c r="R237" s="7"/>
    </row>
    <row r="238" spans="5:18">
      <c r="E238" s="7" t="str">
        <f ca="1">IFERROR(__xludf.DUMMYFUNCTION("""COMPUTED_VALUE"""),"Cristobal López-Cortijo")</f>
        <v>Cristobal López-Cortijo</v>
      </c>
      <c r="F238" s="7" t="str">
        <f ca="1">IFERROR(__xludf.DUMMYFUNCTION("""COMPUTED_VALUE"""),"LRM25")</f>
        <v>LRM25</v>
      </c>
      <c r="G238" s="7" t="str">
        <f ca="1">IFERROR(__xludf.DUMMYFUNCTION("""COMPUTED_VALUE"""),"Lisandro Russian")</f>
        <v>Lisandro Russian</v>
      </c>
      <c r="R238" s="7"/>
    </row>
    <row r="239" spans="5:18">
      <c r="E239" s="7" t="str">
        <f ca="1">IFERROR(__xludf.DUMMYFUNCTION("""COMPUTED_VALUE"""),"Daniel Briones Crespo")</f>
        <v>Daniel Briones Crespo</v>
      </c>
      <c r="F239" s="7" t="str">
        <f ca="1">IFERROR(__xludf.DUMMYFUNCTION("""COMPUTED_VALUE"""),"LRM249")</f>
        <v>LRM249</v>
      </c>
      <c r="G239" s="7" t="str">
        <f ca="1">IFERROR(__xludf.DUMMYFUNCTION("""COMPUTED_VALUE"""),"Lisandro Russian")</f>
        <v>Lisandro Russian</v>
      </c>
      <c r="R239" s="7"/>
    </row>
    <row r="240" spans="5:18">
      <c r="E240" s="7" t="str">
        <f ca="1">IFERROR(__xludf.DUMMYFUNCTION("""COMPUTED_VALUE"""),"Daniel Iván Martín Jiménez")</f>
        <v>Daniel Iván Martín Jiménez</v>
      </c>
      <c r="F240" s="7" t="str">
        <f ca="1">IFERROR(__xludf.DUMMYFUNCTION("""COMPUTED_VALUE"""),"LAA07")</f>
        <v>LAA07</v>
      </c>
      <c r="G240" s="7" t="str">
        <f ca="1">IFERROR(__xludf.DUMMYFUNCTION("""COMPUTED_VALUE"""),"Luis Alberto Rodríguez")</f>
        <v>Luis Alberto Rodríguez</v>
      </c>
      <c r="R240" s="7"/>
    </row>
    <row r="241" spans="5:18">
      <c r="E241" s="7" t="str">
        <f ca="1">IFERROR(__xludf.DUMMYFUNCTION("""COMPUTED_VALUE"""),"Daniel Moreno Jimenez")</f>
        <v>Daniel Moreno Jimenez</v>
      </c>
      <c r="F241" s="7" t="str">
        <f ca="1">IFERROR(__xludf.DUMMYFUNCTION("""COMPUTED_VALUE"""),"MBM16")</f>
        <v>MBM16</v>
      </c>
      <c r="G241" s="7" t="str">
        <f ca="1">IFERROR(__xludf.DUMMYFUNCTION("""COMPUTED_VALUE"""),"Maika Blázquez")</f>
        <v>Maika Blázquez</v>
      </c>
      <c r="R241" s="7"/>
    </row>
    <row r="242" spans="5:18">
      <c r="E242" s="7" t="str">
        <f ca="1">IFERROR(__xludf.DUMMYFUNCTION("""COMPUTED_VALUE"""),"Daniel Rodríguez Ocaña")</f>
        <v>Daniel Rodríguez Ocaña</v>
      </c>
      <c r="F242" s="7" t="str">
        <f ca="1">IFERROR(__xludf.DUMMYFUNCTION("""COMPUTED_VALUE"""),"MBM228")</f>
        <v>MBM228</v>
      </c>
      <c r="G242" s="7" t="str">
        <f ca="1">IFERROR(__xludf.DUMMYFUNCTION("""COMPUTED_VALUE"""),"Maika Blázquez")</f>
        <v>Maika Blázquez</v>
      </c>
      <c r="R242" s="7"/>
    </row>
    <row r="243" spans="5:18">
      <c r="E243" s="7" t="str">
        <f ca="1">IFERROR(__xludf.DUMMYFUNCTION("""COMPUTED_VALUE"""),"Daniel Unigarro Londoño")</f>
        <v>Daniel Unigarro Londoño</v>
      </c>
      <c r="F243" s="7" t="str">
        <f ca="1">IFERROR(__xludf.DUMMYFUNCTION("""COMPUTED_VALUE"""),"RFV44")</f>
        <v>RFV44</v>
      </c>
      <c r="G243" s="7" t="str">
        <f ca="1">IFERROR(__xludf.DUMMYFUNCTION("""COMPUTED_VALUE"""),"Ramon Ferrando")</f>
        <v>Ramon Ferrando</v>
      </c>
      <c r="R243" s="7"/>
    </row>
    <row r="244" spans="5:18">
      <c r="E244" s="7" t="str">
        <f ca="1">IFERROR(__xludf.DUMMYFUNCTION("""COMPUTED_VALUE"""),"Daniela Carolina Laguado Bulgheroni")</f>
        <v>Daniela Carolina Laguado Bulgheroni</v>
      </c>
      <c r="F244" s="7" t="str">
        <f ca="1">IFERROR(__xludf.DUMMYFUNCTION("""COMPUTED_VALUE"""),"LRM153")</f>
        <v>LRM153</v>
      </c>
      <c r="G244" s="7" t="str">
        <f ca="1">IFERROR(__xludf.DUMMYFUNCTION("""COMPUTED_VALUE"""),"Lisandro Russian")</f>
        <v>Lisandro Russian</v>
      </c>
      <c r="R244" s="7"/>
    </row>
    <row r="245" spans="5:18">
      <c r="E245" s="7" t="str">
        <f ca="1">IFERROR(__xludf.DUMMYFUNCTION("""COMPUTED_VALUE"""),"Daniela Carrillo Moreno")</f>
        <v>Daniela Carrillo Moreno</v>
      </c>
      <c r="F245" s="7" t="str">
        <f ca="1">IFERROR(__xludf.DUMMYFUNCTION("""COMPUTED_VALUE"""),"MBM230")</f>
        <v>MBM230</v>
      </c>
      <c r="G245" s="7" t="str">
        <f ca="1">IFERROR(__xludf.DUMMYFUNCTION("""COMPUTED_VALUE"""),"Maika Blázquez")</f>
        <v>Maika Blázquez</v>
      </c>
      <c r="R245" s="7"/>
    </row>
    <row r="246" spans="5:18">
      <c r="E246" s="7" t="str">
        <f ca="1">IFERROR(__xludf.DUMMYFUNCTION("""COMPUTED_VALUE"""),"Daniela Terán Guamán")</f>
        <v>Daniela Terán Guamán</v>
      </c>
      <c r="F246" s="7" t="str">
        <f ca="1">IFERROR(__xludf.DUMMYFUNCTION("""COMPUTED_VALUE"""),"LAA45")</f>
        <v>LAA45</v>
      </c>
      <c r="G246" s="7" t="str">
        <f ca="1">IFERROR(__xludf.DUMMYFUNCTION("""COMPUTED_VALUE"""),"Luis Alberto Rodríguez")</f>
        <v>Luis Alberto Rodríguez</v>
      </c>
      <c r="R246" s="7"/>
    </row>
    <row r="247" spans="5:18">
      <c r="E247" s="7" t="str">
        <f ca="1">IFERROR(__xludf.DUMMYFUNCTION("""COMPUTED_VALUE"""),"Dará Sánchez Ruiz")</f>
        <v>Dará Sánchez Ruiz</v>
      </c>
      <c r="F247" s="7" t="str">
        <f ca="1">IFERROR(__xludf.DUMMYFUNCTION("""COMPUTED_VALUE"""),"RPG43")</f>
        <v>RPG43</v>
      </c>
      <c r="G247" s="7" t="str">
        <f ca="1">IFERROR(__xludf.DUMMYFUNCTION("""COMPUTED_VALUE"""),"Roberto Pereira")</f>
        <v>Roberto Pereira</v>
      </c>
      <c r="R247" s="7"/>
    </row>
    <row r="248" spans="5:18">
      <c r="E248" s="7" t="str">
        <f ca="1">IFERROR(__xludf.DUMMYFUNCTION("""COMPUTED_VALUE"""),"Darío Agudelo García")</f>
        <v>Darío Agudelo García</v>
      </c>
      <c r="F248" s="7" t="str">
        <f ca="1">IFERROR(__xludf.DUMMYFUNCTION("""COMPUTED_VALUE"""),"MCC04")</f>
        <v>MCC04</v>
      </c>
      <c r="G248" s="7" t="str">
        <f ca="1">IFERROR(__xludf.DUMMYFUNCTION("""COMPUTED_VALUE"""),"Mercè Cabrera")</f>
        <v>Mercè Cabrera</v>
      </c>
      <c r="R248" s="7"/>
    </row>
    <row r="249" spans="5:18">
      <c r="E249" s="7" t="str">
        <f ca="1">IFERROR(__xludf.DUMMYFUNCTION("""COMPUTED_VALUE"""),"David Castro Gutiérrez de Agüero")</f>
        <v>David Castro Gutiérrez de Agüero</v>
      </c>
      <c r="F249" s="7" t="str">
        <f ca="1">IFERROR(__xludf.DUMMYFUNCTION("""COMPUTED_VALUE"""),"LAA08")</f>
        <v>LAA08</v>
      </c>
      <c r="G249" s="7" t="str">
        <f ca="1">IFERROR(__xludf.DUMMYFUNCTION("""COMPUTED_VALUE"""),"Luis Alberto Rodríguez")</f>
        <v>Luis Alberto Rodríguez</v>
      </c>
      <c r="R249" s="7"/>
    </row>
    <row r="250" spans="5:18">
      <c r="E250" s="7" t="str">
        <f ca="1">IFERROR(__xludf.DUMMYFUNCTION("""COMPUTED_VALUE"""),"David López Bru")</f>
        <v>David López Bru</v>
      </c>
      <c r="F250" s="7" t="str">
        <f ca="1">IFERROR(__xludf.DUMMYFUNCTION("""COMPUTED_VALUE"""),"ISL15")</f>
        <v>ISL15</v>
      </c>
      <c r="G250" s="7" t="str">
        <f ca="1">IFERROR(__xludf.DUMMYFUNCTION("""COMPUTED_VALUE"""),"Iván Sánchez")</f>
        <v>Iván Sánchez</v>
      </c>
      <c r="R250" s="7"/>
    </row>
    <row r="251" spans="5:18">
      <c r="E251" s="7" t="str">
        <f ca="1">IFERROR(__xludf.DUMMYFUNCTION("""COMPUTED_VALUE"""),"David Rubén Pérez Pérez")</f>
        <v>David Rubén Pérez Pérez</v>
      </c>
      <c r="F251" s="7" t="str">
        <f ca="1">IFERROR(__xludf.DUMMYFUNCTION("""COMPUTED_VALUE"""),"LRM26")</f>
        <v>LRM26</v>
      </c>
      <c r="G251" s="7" t="str">
        <f ca="1">IFERROR(__xludf.DUMMYFUNCTION("""COMPUTED_VALUE"""),"Lisandro Russian")</f>
        <v>Lisandro Russian</v>
      </c>
      <c r="R251" s="7"/>
    </row>
    <row r="252" spans="5:18">
      <c r="E252" s="7" t="str">
        <f ca="1">IFERROR(__xludf.DUMMYFUNCTION("""COMPUTED_VALUE"""),"Desirée Méndez Brenderbache")</f>
        <v>Desirée Méndez Brenderbache</v>
      </c>
      <c r="F252" s="7" t="str">
        <f ca="1">IFERROR(__xludf.DUMMYFUNCTION("""COMPUTED_VALUE"""),"MBM109")</f>
        <v>MBM109</v>
      </c>
      <c r="G252" s="7" t="str">
        <f ca="1">IFERROR(__xludf.DUMMYFUNCTION("""COMPUTED_VALUE"""),"Maika Blázquez")</f>
        <v>Maika Blázquez</v>
      </c>
      <c r="R252" s="7"/>
    </row>
    <row r="253" spans="5:18">
      <c r="E253" s="7" t="str">
        <f ca="1">IFERROR(__xludf.DUMMYFUNCTION("""COMPUTED_VALUE"""),"Diana Hernán Pérez")</f>
        <v>Diana Hernán Pérez</v>
      </c>
      <c r="F253" s="7" t="str">
        <f ca="1">IFERROR(__xludf.DUMMYFUNCTION("""COMPUTED_VALUE"""),"MBM110")</f>
        <v>MBM110</v>
      </c>
      <c r="G253" s="7" t="str">
        <f ca="1">IFERROR(__xludf.DUMMYFUNCTION("""COMPUTED_VALUE"""),"Lisandro Russian")</f>
        <v>Lisandro Russian</v>
      </c>
      <c r="R253" s="7"/>
    </row>
    <row r="254" spans="5:18">
      <c r="E254" s="7" t="str">
        <f ca="1">IFERROR(__xludf.DUMMYFUNCTION("""COMPUTED_VALUE"""),"Diana Lysbeth Lourido Piedrahita")</f>
        <v>Diana Lysbeth Lourido Piedrahita</v>
      </c>
      <c r="F254" s="7" t="str">
        <f ca="1">IFERROR(__xludf.DUMMYFUNCTION("""COMPUTED_VALUE"""),"PSC37")</f>
        <v>PSC37</v>
      </c>
      <c r="G254" s="7" t="str">
        <f ca="1">IFERROR(__xludf.DUMMYFUNCTION("""COMPUTED_VALUE"""),"Patricia Solache")</f>
        <v>Patricia Solache</v>
      </c>
      <c r="R254" s="7"/>
    </row>
    <row r="255" spans="5:18">
      <c r="E255" s="7" t="str">
        <f ca="1">IFERROR(__xludf.DUMMYFUNCTION("""COMPUTED_VALUE"""),"Diego Armando Escobar")</f>
        <v>Diego Armando Escobar</v>
      </c>
      <c r="F255" s="7" t="str">
        <f ca="1">IFERROR(__xludf.DUMMYFUNCTION("""COMPUTED_VALUE"""),"LRM27")</f>
        <v>LRM27</v>
      </c>
      <c r="G255" s="7" t="str">
        <f ca="1">IFERROR(__xludf.DUMMYFUNCTION("""COMPUTED_VALUE"""),"Lisandro Russian")</f>
        <v>Lisandro Russian</v>
      </c>
      <c r="R255" s="7"/>
    </row>
    <row r="256" spans="5:18">
      <c r="E256" s="7" t="str">
        <f ca="1">IFERROR(__xludf.DUMMYFUNCTION("""COMPUTED_VALUE"""),"Diego Collado Martín")</f>
        <v>Diego Collado Martín</v>
      </c>
      <c r="F256" s="7" t="str">
        <f ca="1">IFERROR(__xludf.DUMMYFUNCTION("""COMPUTED_VALUE"""),"ISL16")</f>
        <v>ISL16</v>
      </c>
      <c r="G256" s="7" t="str">
        <f ca="1">IFERROR(__xludf.DUMMYFUNCTION("""COMPUTED_VALUE"""),"Iván Sánchez")</f>
        <v>Iván Sánchez</v>
      </c>
      <c r="R256" s="7"/>
    </row>
    <row r="257" spans="5:18">
      <c r="E257" s="7" t="str">
        <f ca="1">IFERROR(__xludf.DUMMYFUNCTION("""COMPUTED_VALUE"""),"Diego Espuch Nuñez")</f>
        <v>Diego Espuch Nuñez</v>
      </c>
      <c r="F257" s="7" t="str">
        <f ca="1">IFERROR(__xludf.DUMMYFUNCTION("""COMPUTED_VALUE"""),"ISL17")</f>
        <v>ISL17</v>
      </c>
      <c r="G257" s="7" t="str">
        <f ca="1">IFERROR(__xludf.DUMMYFUNCTION("""COMPUTED_VALUE"""),"Iván Sánchez")</f>
        <v>Iván Sánchez</v>
      </c>
      <c r="R257" s="7"/>
    </row>
    <row r="258" spans="5:18">
      <c r="E258" s="7" t="str">
        <f ca="1">IFERROR(__xludf.DUMMYFUNCTION("""COMPUTED_VALUE"""),"Diego Hellín Meseguer")</f>
        <v>Diego Hellín Meseguer</v>
      </c>
      <c r="F258" s="7" t="str">
        <f ca="1">IFERROR(__xludf.DUMMYFUNCTION("""COMPUTED_VALUE"""),"ISL18")</f>
        <v>ISL18</v>
      </c>
      <c r="G258" s="7" t="str">
        <f ca="1">IFERROR(__xludf.DUMMYFUNCTION("""COMPUTED_VALUE"""),"Iván Sánchez")</f>
        <v>Iván Sánchez</v>
      </c>
      <c r="R258" s="7"/>
    </row>
    <row r="259" spans="5:18">
      <c r="E259" s="7" t="str">
        <f ca="1">IFERROR(__xludf.DUMMYFUNCTION("""COMPUTED_VALUE"""),"Dinis Antunes Silva")</f>
        <v>Dinis Antunes Silva</v>
      </c>
      <c r="F259" s="7" t="str">
        <f ca="1">IFERROR(__xludf.DUMMYFUNCTION("""COMPUTED_VALUE"""),"ISL19")</f>
        <v>ISL19</v>
      </c>
      <c r="G259" s="7" t="str">
        <f ca="1">IFERROR(__xludf.DUMMYFUNCTION("""COMPUTED_VALUE"""),"Iván Sánchez")</f>
        <v>Iván Sánchez</v>
      </c>
      <c r="R259" s="7"/>
    </row>
    <row r="260" spans="5:18">
      <c r="E260" s="7" t="str">
        <f ca="1">IFERROR(__xludf.DUMMYFUNCTION("""COMPUTED_VALUE"""),"Dolores Romero Panadero")</f>
        <v>Dolores Romero Panadero</v>
      </c>
      <c r="F260" s="7" t="str">
        <f ca="1">IFERROR(__xludf.DUMMYFUNCTION("""COMPUTED_VALUE"""),"MCC44")</f>
        <v>MCC44</v>
      </c>
      <c r="G260" s="7" t="str">
        <f ca="1">IFERROR(__xludf.DUMMYFUNCTION("""COMPUTED_VALUE"""),"Mercè Cabrera")</f>
        <v>Mercè Cabrera</v>
      </c>
      <c r="R260" s="7"/>
    </row>
    <row r="261" spans="5:18">
      <c r="E261" s="7" t="str">
        <f ca="1">IFERROR(__xludf.DUMMYFUNCTION("""COMPUTED_VALUE"""),"Edson Robles Castilla")</f>
        <v>Edson Robles Castilla</v>
      </c>
      <c r="F261" s="7" t="str">
        <f ca="1">IFERROR(__xludf.DUMMYFUNCTION("""COMPUTED_VALUE"""),"MBM212")</f>
        <v>MBM212</v>
      </c>
      <c r="G261" s="7" t="str">
        <f ca="1">IFERROR(__xludf.DUMMYFUNCTION("""COMPUTED_VALUE"""),"Maika Blázquez")</f>
        <v>Maika Blázquez</v>
      </c>
      <c r="R261" s="7"/>
    </row>
    <row r="262" spans="5:18">
      <c r="E262" s="7" t="str">
        <f ca="1">IFERROR(__xludf.DUMMYFUNCTION("""COMPUTED_VALUE"""),"Eduardo Cabanas Rodríguez")</f>
        <v>Eduardo Cabanas Rodríguez</v>
      </c>
      <c r="F262" s="7" t="str">
        <f ca="1">IFERROR(__xludf.DUMMYFUNCTION("""COMPUTED_VALUE"""),"RPG11")</f>
        <v>RPG11</v>
      </c>
      <c r="G262" s="7" t="str">
        <f ca="1">IFERROR(__xludf.DUMMYFUNCTION("""COMPUTED_VALUE"""),"Roberto Pereira")</f>
        <v>Roberto Pereira</v>
      </c>
      <c r="R262" s="7"/>
    </row>
    <row r="263" spans="5:18">
      <c r="E263" s="7" t="str">
        <f ca="1">IFERROR(__xludf.DUMMYFUNCTION("""COMPUTED_VALUE"""),"Eduardo Del Castillo Serrano")</f>
        <v>Eduardo Del Castillo Serrano</v>
      </c>
      <c r="F263" s="7" t="str">
        <f ca="1">IFERROR(__xludf.DUMMYFUNCTION("""COMPUTED_VALUE"""),"LRM28")</f>
        <v>LRM28</v>
      </c>
      <c r="G263" s="7" t="str">
        <f ca="1">IFERROR(__xludf.DUMMYFUNCTION("""COMPUTED_VALUE"""),"Lisandro Russian")</f>
        <v>Lisandro Russian</v>
      </c>
      <c r="R263" s="7"/>
    </row>
    <row r="264" spans="5:18">
      <c r="E264" s="7" t="str">
        <f ca="1">IFERROR(__xludf.DUMMYFUNCTION("""COMPUTED_VALUE"""),"Eduardo Delgado Bobadilla")</f>
        <v>Eduardo Delgado Bobadilla</v>
      </c>
      <c r="F264" s="7" t="str">
        <f ca="1">IFERROR(__xludf.DUMMYFUNCTION("""COMPUTED_VALUE"""),"LRM29")</f>
        <v>LRM29</v>
      </c>
      <c r="G264" s="7" t="str">
        <f ca="1">IFERROR(__xludf.DUMMYFUNCTION("""COMPUTED_VALUE"""),"Lisandro Russian")</f>
        <v>Lisandro Russian</v>
      </c>
      <c r="R264" s="7"/>
    </row>
    <row r="265" spans="5:18">
      <c r="E265" s="7" t="str">
        <f ca="1">IFERROR(__xludf.DUMMYFUNCTION("""COMPUTED_VALUE"""),"Eduardo Lehrer Coriat")</f>
        <v>Eduardo Lehrer Coriat</v>
      </c>
      <c r="F265" s="7" t="str">
        <f ca="1">IFERROR(__xludf.DUMMYFUNCTION("""COMPUTED_VALUE"""),"MCC05")</f>
        <v>MCC05</v>
      </c>
      <c r="G265" s="7" t="str">
        <f ca="1">IFERROR(__xludf.DUMMYFUNCTION("""COMPUTED_VALUE"""),"Mercè Cabrera")</f>
        <v>Mercè Cabrera</v>
      </c>
      <c r="R265" s="7"/>
    </row>
    <row r="266" spans="5:18">
      <c r="E266" s="7" t="str">
        <f ca="1">IFERROR(__xludf.DUMMYFUNCTION("""COMPUTED_VALUE"""),"Eduardo Martín Sanz")</f>
        <v>Eduardo Martín Sanz</v>
      </c>
      <c r="F266" s="7" t="str">
        <f ca="1">IFERROR(__xludf.DUMMYFUNCTION("""COMPUTED_VALUE"""),"MBM17")</f>
        <v>MBM17</v>
      </c>
      <c r="G266" s="7" t="str">
        <f ca="1">IFERROR(__xludf.DUMMYFUNCTION("""COMPUTED_VALUE"""),"Maika Blázquez")</f>
        <v>Maika Blázquez</v>
      </c>
      <c r="R266" s="7"/>
    </row>
    <row r="267" spans="5:18">
      <c r="E267" s="7" t="str">
        <f ca="1">IFERROR(__xludf.DUMMYFUNCTION("""COMPUTED_VALUE"""),"Eladio Sicilia Maluenda")</f>
        <v>Eladio Sicilia Maluenda</v>
      </c>
      <c r="F267" s="7" t="str">
        <f ca="1">IFERROR(__xludf.DUMMYFUNCTION("""COMPUTED_VALUE"""),"MCC06")</f>
        <v>MCC06</v>
      </c>
      <c r="G267" s="7" t="str">
        <f ca="1">IFERROR(__xludf.DUMMYFUNCTION("""COMPUTED_VALUE"""),"Mercè Cabrera")</f>
        <v>Mercè Cabrera</v>
      </c>
      <c r="R267" s="7"/>
    </row>
    <row r="268" spans="5:18">
      <c r="E268" s="7" t="str">
        <f ca="1">IFERROR(__xludf.DUMMYFUNCTION("""COMPUTED_VALUE"""),"Elena Aznar Facerías")</f>
        <v>Elena Aznar Facerías</v>
      </c>
      <c r="F268" s="7" t="str">
        <f ca="1">IFERROR(__xludf.DUMMYFUNCTION("""COMPUTED_VALUE"""),"LRM154")</f>
        <v>LRM154</v>
      </c>
      <c r="G268" s="7" t="str">
        <f ca="1">IFERROR(__xludf.DUMMYFUNCTION("""COMPUTED_VALUE"""),"Lisandro Russian")</f>
        <v>Lisandro Russian</v>
      </c>
      <c r="R268" s="7"/>
    </row>
    <row r="269" spans="5:18">
      <c r="E269" s="7" t="str">
        <f ca="1">IFERROR(__xludf.DUMMYFUNCTION("""COMPUTED_VALUE"""),"Elena Balduz Moreno")</f>
        <v>Elena Balduz Moreno</v>
      </c>
      <c r="F269" s="7" t="str">
        <f ca="1">IFERROR(__xludf.DUMMYFUNCTION("""COMPUTED_VALUE"""),"AMM28")</f>
        <v>AMM28</v>
      </c>
      <c r="G269" s="7" t="str">
        <f ca="1">IFERROR(__xludf.DUMMYFUNCTION("""COMPUTED_VALUE"""),"Alberto Moreno")</f>
        <v>Alberto Moreno</v>
      </c>
      <c r="R269" s="7"/>
    </row>
    <row r="270" spans="5:18">
      <c r="E270" s="7" t="str">
        <f ca="1">IFERROR(__xludf.DUMMYFUNCTION("""COMPUTED_VALUE"""),"Elena De Dios Oran")</f>
        <v>Elena De Dios Oran</v>
      </c>
      <c r="F270" s="7" t="str">
        <f ca="1">IFERROR(__xludf.DUMMYFUNCTION("""COMPUTED_VALUE"""),"MCC45")</f>
        <v>MCC45</v>
      </c>
      <c r="G270" s="7" t="str">
        <f ca="1">IFERROR(__xludf.DUMMYFUNCTION("""COMPUTED_VALUE"""),"Mercè Cabrera")</f>
        <v>Mercè Cabrera</v>
      </c>
      <c r="R270" s="7"/>
    </row>
    <row r="271" spans="5:18">
      <c r="E271" s="7" t="str">
        <f ca="1">IFERROR(__xludf.DUMMYFUNCTION("""COMPUTED_VALUE"""),"Elena González Turienzo")</f>
        <v>Elena González Turienzo</v>
      </c>
      <c r="F271" s="7" t="str">
        <f ca="1">IFERROR(__xludf.DUMMYFUNCTION("""COMPUTED_VALUE"""),"RFV48")</f>
        <v>RFV48</v>
      </c>
      <c r="G271" s="7" t="str">
        <f ca="1">IFERROR(__xludf.DUMMYFUNCTION("""COMPUTED_VALUE"""),"Ramon Ferrando")</f>
        <v>Ramon Ferrando</v>
      </c>
      <c r="R271" s="7"/>
    </row>
    <row r="272" spans="5:18">
      <c r="E272" s="7" t="str">
        <f ca="1">IFERROR(__xludf.DUMMYFUNCTION("""COMPUTED_VALUE"""),"Elena Martín Bejerano")</f>
        <v>Elena Martín Bejerano</v>
      </c>
      <c r="F272" s="7" t="str">
        <f ca="1">IFERROR(__xludf.DUMMYFUNCTION("""COMPUTED_VALUE"""),"MBM191")</f>
        <v>MBM191</v>
      </c>
      <c r="G272" s="7" t="str">
        <f ca="1">IFERROR(__xludf.DUMMYFUNCTION("""COMPUTED_VALUE"""),"Maika Blázquez")</f>
        <v>Maika Blázquez</v>
      </c>
      <c r="R272" s="7"/>
    </row>
    <row r="273" spans="5:18">
      <c r="E273" s="7" t="str">
        <f ca="1">IFERROR(__xludf.DUMMYFUNCTION("""COMPUTED_VALUE"""),"Elena Molina Fernández")</f>
        <v>Elena Molina Fernández</v>
      </c>
      <c r="F273" s="7" t="str">
        <f ca="1">IFERROR(__xludf.DUMMYFUNCTION("""COMPUTED_VALUE"""),"LAA46")</f>
        <v>LAA46</v>
      </c>
      <c r="G273" s="7" t="str">
        <f ca="1">IFERROR(__xludf.DUMMYFUNCTION("""COMPUTED_VALUE"""),"Luis Alberto Rodríguez")</f>
        <v>Luis Alberto Rodríguez</v>
      </c>
      <c r="R273" s="7"/>
    </row>
    <row r="274" spans="5:18">
      <c r="E274" s="7" t="str">
        <f ca="1">IFERROR(__xludf.DUMMYFUNCTION("""COMPUTED_VALUE"""),"Elena San Román Rodríguez")</f>
        <v>Elena San Román Rodríguez</v>
      </c>
      <c r="F274" s="7" t="str">
        <f ca="1">IFERROR(__xludf.DUMMYFUNCTION("""COMPUTED_VALUE"""),"RPG44")</f>
        <v>RPG44</v>
      </c>
      <c r="G274" s="7" t="str">
        <f ca="1">IFERROR(__xludf.DUMMYFUNCTION("""COMPUTED_VALUE"""),"Roberto Pereira")</f>
        <v>Roberto Pereira</v>
      </c>
      <c r="R274" s="7"/>
    </row>
    <row r="275" spans="5:18">
      <c r="E275" s="7" t="str">
        <f ca="1">IFERROR(__xludf.DUMMYFUNCTION("""COMPUTED_VALUE"""),"Elena Sevilla Heras")</f>
        <v>Elena Sevilla Heras</v>
      </c>
      <c r="F275" s="7" t="str">
        <f ca="1">IFERROR(__xludf.DUMMYFUNCTION("""COMPUTED_VALUE"""),"ISL145")</f>
        <v>ISL145</v>
      </c>
      <c r="G275" s="7" t="str">
        <f ca="1">IFERROR(__xludf.DUMMYFUNCTION("""COMPUTED_VALUE"""),"Iván Sánchez")</f>
        <v>Iván Sánchez</v>
      </c>
      <c r="R275" s="7"/>
    </row>
    <row r="276" spans="5:18">
      <c r="E276" s="7" t="str">
        <f ca="1">IFERROR(__xludf.DUMMYFUNCTION("""COMPUTED_VALUE"""),"Elena Vázquez Becerra")</f>
        <v>Elena Vázquez Becerra</v>
      </c>
      <c r="F276" s="7" t="str">
        <f ca="1">IFERROR(__xludf.DUMMYFUNCTION("""COMPUTED_VALUE"""),"LAA79")</f>
        <v>LAA79</v>
      </c>
      <c r="G276" s="7" t="str">
        <f ca="1">IFERROR(__xludf.DUMMYFUNCTION("""COMPUTED_VALUE"""),"Luis Alberto Rodríguez")</f>
        <v>Luis Alberto Rodríguez</v>
      </c>
      <c r="R276" s="7"/>
    </row>
    <row r="277" spans="5:18">
      <c r="E277" s="7" t="str">
        <f ca="1">IFERROR(__xludf.DUMMYFUNCTION("""COMPUTED_VALUE"""),"Elham Asgharpour Talat")</f>
        <v>Elham Asgharpour Talat</v>
      </c>
      <c r="F277" s="7" t="str">
        <f ca="1">IFERROR(__xludf.DUMMYFUNCTION("""COMPUTED_VALUE"""),"LRM155")</f>
        <v>LRM155</v>
      </c>
      <c r="G277" s="7" t="str">
        <f ca="1">IFERROR(__xludf.DUMMYFUNCTION("""COMPUTED_VALUE"""),"Lisandro Russian")</f>
        <v>Lisandro Russian</v>
      </c>
      <c r="R277" s="7"/>
    </row>
    <row r="278" spans="5:18">
      <c r="E278" s="7" t="str">
        <f ca="1">IFERROR(__xludf.DUMMYFUNCTION("""COMPUTED_VALUE"""),"Elisabeth Amarillo Espitia")</f>
        <v>Elisabeth Amarillo Espitia</v>
      </c>
      <c r="F278" s="7" t="str">
        <f ca="1">IFERROR(__xludf.DUMMYFUNCTION("""COMPUTED_VALUE"""),"MBM111")</f>
        <v>MBM111</v>
      </c>
      <c r="G278" s="7" t="str">
        <f ca="1">IFERROR(__xludf.DUMMYFUNCTION("""COMPUTED_VALUE"""),"Maika Blázquez")</f>
        <v>Maika Blázquez</v>
      </c>
      <c r="R278" s="7"/>
    </row>
    <row r="279" spans="5:18">
      <c r="E279" s="7" t="str">
        <f ca="1">IFERROR(__xludf.DUMMYFUNCTION("""COMPUTED_VALUE"""),"Elisheba Haro Hernández")</f>
        <v>Elisheba Haro Hernández</v>
      </c>
      <c r="F279" s="7" t="str">
        <f ca="1">IFERROR(__xludf.DUMMYFUNCTION("""COMPUTED_VALUE"""),"RFV47")</f>
        <v>RFV47</v>
      </c>
      <c r="G279" s="7" t="str">
        <f ca="1">IFERROR(__xludf.DUMMYFUNCTION("""COMPUTED_VALUE"""),"Ramon Ferrando")</f>
        <v>Ramon Ferrando</v>
      </c>
      <c r="R279" s="7"/>
    </row>
    <row r="280" spans="5:18">
      <c r="E280" s="7" t="str">
        <f ca="1">IFERROR(__xludf.DUMMYFUNCTION("""COMPUTED_VALUE"""),"Eloy Infante Matarredona")</f>
        <v>Eloy Infante Matarredona</v>
      </c>
      <c r="F280" s="7" t="str">
        <f ca="1">IFERROR(__xludf.DUMMYFUNCTION("""COMPUTED_VALUE"""),"ISL20")</f>
        <v>ISL20</v>
      </c>
      <c r="G280" s="7" t="str">
        <f ca="1">IFERROR(__xludf.DUMMYFUNCTION("""COMPUTED_VALUE"""),"Iván Sánchez")</f>
        <v>Iván Sánchez</v>
      </c>
      <c r="R280" s="7"/>
    </row>
    <row r="281" spans="5:18">
      <c r="E281" s="7" t="str">
        <f ca="1">IFERROR(__xludf.DUMMYFUNCTION("""COMPUTED_VALUE"""),"Elvira Mencheta Benet")</f>
        <v>Elvira Mencheta Benet</v>
      </c>
      <c r="F281" s="7" t="str">
        <f ca="1">IFERROR(__xludf.DUMMYFUNCTION("""COMPUTED_VALUE"""),"ISL100")</f>
        <v>ISL100</v>
      </c>
      <c r="G281" s="7" t="str">
        <f ca="1">IFERROR(__xludf.DUMMYFUNCTION("""COMPUTED_VALUE"""),"Iván Sánchez")</f>
        <v>Iván Sánchez</v>
      </c>
      <c r="R281" s="7"/>
    </row>
    <row r="282" spans="5:18">
      <c r="E282" s="7" t="str">
        <f ca="1">IFERROR(__xludf.DUMMYFUNCTION("""COMPUTED_VALUE"""),"Elvylins Vargas Yglesia")</f>
        <v>Elvylins Vargas Yglesia</v>
      </c>
      <c r="F282" s="7" t="str">
        <f ca="1">IFERROR(__xludf.DUMMYFUNCTION("""COMPUTED_VALUE"""),"MBM112")</f>
        <v>MBM112</v>
      </c>
      <c r="G282" s="7" t="str">
        <f ca="1">IFERROR(__xludf.DUMMYFUNCTION("""COMPUTED_VALUE"""),"Maika Blázquez")</f>
        <v>Maika Blázquez</v>
      </c>
      <c r="R282" s="7"/>
    </row>
    <row r="283" spans="5:18">
      <c r="E283" s="7" t="str">
        <f ca="1">IFERROR(__xludf.DUMMYFUNCTION("""COMPUTED_VALUE"""),"Emilio Saura Sánchez-Parra")</f>
        <v>Emilio Saura Sánchez-Parra</v>
      </c>
      <c r="F283" s="7" t="str">
        <f ca="1">IFERROR(__xludf.DUMMYFUNCTION("""COMPUTED_VALUE"""),"ISL21")</f>
        <v>ISL21</v>
      </c>
      <c r="G283" s="7" t="str">
        <f ca="1">IFERROR(__xludf.DUMMYFUNCTION("""COMPUTED_VALUE"""),"Iván Sánchez")</f>
        <v>Iván Sánchez</v>
      </c>
      <c r="R283" s="7"/>
    </row>
    <row r="284" spans="5:18">
      <c r="E284" s="7" t="str">
        <f ca="1">IFERROR(__xludf.DUMMYFUNCTION("""COMPUTED_VALUE"""),"Enric Cisa Lluis")</f>
        <v>Enric Cisa Lluis</v>
      </c>
      <c r="F284" s="7" t="str">
        <f ca="1">IFERROR(__xludf.DUMMYFUNCTION("""COMPUTED_VALUE"""),"MCC07")</f>
        <v>MCC07</v>
      </c>
      <c r="G284" s="7" t="str">
        <f ca="1">IFERROR(__xludf.DUMMYFUNCTION("""COMPUTED_VALUE"""),"Mercè Cabrera")</f>
        <v>Mercè Cabrera</v>
      </c>
      <c r="R284" s="7"/>
    </row>
    <row r="285" spans="5:18">
      <c r="E285" s="7" t="str">
        <f ca="1">IFERROR(__xludf.DUMMYFUNCTION("""COMPUTED_VALUE"""),"Enric Ferran Benstrom")</f>
        <v>Enric Ferran Benstrom</v>
      </c>
      <c r="F285" s="7" t="str">
        <f ca="1">IFERROR(__xludf.DUMMYFUNCTION("""COMPUTED_VALUE"""),"MCC08")</f>
        <v>MCC08</v>
      </c>
      <c r="G285" s="7" t="str">
        <f ca="1">IFERROR(__xludf.DUMMYFUNCTION("""COMPUTED_VALUE"""),"Mercè Cabrera")</f>
        <v>Mercè Cabrera</v>
      </c>
      <c r="R285" s="7"/>
    </row>
    <row r="286" spans="5:18">
      <c r="E286" s="7" t="str">
        <f ca="1">IFERROR(__xludf.DUMMYFUNCTION("""COMPUTED_VALUE"""),"Enrique Fernández Julián")</f>
        <v>Enrique Fernández Julián</v>
      </c>
      <c r="F286" s="7" t="str">
        <f ca="1">IFERROR(__xludf.DUMMYFUNCTION("""COMPUTED_VALUE"""),"ISL22")</f>
        <v>ISL22</v>
      </c>
      <c r="G286" s="7" t="str">
        <f ca="1">IFERROR(__xludf.DUMMYFUNCTION("""COMPUTED_VALUE"""),"Iván Sánchez")</f>
        <v>Iván Sánchez</v>
      </c>
      <c r="R286" s="7"/>
    </row>
    <row r="287" spans="5:18">
      <c r="E287" s="7" t="str">
        <f ca="1">IFERROR(__xludf.DUMMYFUNCTION("""COMPUTED_VALUE"""),"Enrique García Zamora")</f>
        <v>Enrique García Zamora</v>
      </c>
      <c r="F287" s="7" t="str">
        <f ca="1">IFERROR(__xludf.DUMMYFUNCTION("""COMPUTED_VALUE"""),"ISL23")</f>
        <v>ISL23</v>
      </c>
      <c r="G287" s="7" t="str">
        <f ca="1">IFERROR(__xludf.DUMMYFUNCTION("""COMPUTED_VALUE"""),"Iván Sánchez")</f>
        <v>Iván Sánchez</v>
      </c>
      <c r="R287" s="7"/>
    </row>
    <row r="288" spans="5:18">
      <c r="E288" s="7" t="str">
        <f ca="1">IFERROR(__xludf.DUMMYFUNCTION("""COMPUTED_VALUE"""),"Enrique Gómez Aldaz")</f>
        <v>Enrique Gómez Aldaz</v>
      </c>
      <c r="F288" s="7" t="str">
        <f ca="1">IFERROR(__xludf.DUMMYFUNCTION("""COMPUTED_VALUE"""),"LAA09")</f>
        <v>LAA09</v>
      </c>
      <c r="G288" s="7" t="str">
        <f ca="1">IFERROR(__xludf.DUMMYFUNCTION("""COMPUTED_VALUE"""),"Luis Alberto Rodríguez")</f>
        <v>Luis Alberto Rodríguez</v>
      </c>
      <c r="R288" s="7"/>
    </row>
    <row r="289" spans="5:18">
      <c r="E289" s="7" t="str">
        <f ca="1">IFERROR(__xludf.DUMMYFUNCTION("""COMPUTED_VALUE"""),"Enrique López Meseguer")</f>
        <v>Enrique López Meseguer</v>
      </c>
      <c r="F289" s="7" t="str">
        <f ca="1">IFERROR(__xludf.DUMMYFUNCTION("""COMPUTED_VALUE"""),"ISL24")</f>
        <v>ISL24</v>
      </c>
      <c r="G289" s="7" t="str">
        <f ca="1">IFERROR(__xludf.DUMMYFUNCTION("""COMPUTED_VALUE"""),"Iván Sánchez")</f>
        <v>Iván Sánchez</v>
      </c>
      <c r="R289" s="7"/>
    </row>
    <row r="290" spans="5:18">
      <c r="E290" s="7" t="str">
        <f ca="1">IFERROR(__xludf.DUMMYFUNCTION("""COMPUTED_VALUE"""),"Enrique Melcom Díez")</f>
        <v>Enrique Melcom Díez</v>
      </c>
      <c r="F290" s="7" t="str">
        <f ca="1">IFERROR(__xludf.DUMMYFUNCTION("""COMPUTED_VALUE"""),"LRM30")</f>
        <v>LRM30</v>
      </c>
      <c r="G290" s="7" t="str">
        <f ca="1">IFERROR(__xludf.DUMMYFUNCTION("""COMPUTED_VALUE"""),"Lisandro Russian")</f>
        <v>Lisandro Russian</v>
      </c>
      <c r="R290" s="7"/>
    </row>
    <row r="291" spans="5:18">
      <c r="E291" s="7" t="str">
        <f ca="1">IFERROR(__xludf.DUMMYFUNCTION("""COMPUTED_VALUE"""),"Enrique Perelló Scherdel")</f>
        <v>Enrique Perelló Scherdel</v>
      </c>
      <c r="F291" s="7" t="str">
        <f ca="1">IFERROR(__xludf.DUMMYFUNCTION("""COMPUTED_VALUE"""),"MCC09")</f>
        <v>MCC09</v>
      </c>
      <c r="G291" s="7" t="str">
        <f ca="1">IFERROR(__xludf.DUMMYFUNCTION("""COMPUTED_VALUE"""),"Mercè Cabrera")</f>
        <v>Mercè Cabrera</v>
      </c>
      <c r="R291" s="7"/>
    </row>
    <row r="292" spans="5:18">
      <c r="E292" s="7" t="str">
        <f ca="1">IFERROR(__xludf.DUMMYFUNCTION("""COMPUTED_VALUE"""),"Enrique Romero Van Abeleen")</f>
        <v>Enrique Romero Van Abeleen</v>
      </c>
      <c r="F292" s="7" t="str">
        <f ca="1">IFERROR(__xludf.DUMMYFUNCTION("""COMPUTED_VALUE"""),"MCC10")</f>
        <v>MCC10</v>
      </c>
      <c r="G292" s="7" t="str">
        <f ca="1">IFERROR(__xludf.DUMMYFUNCTION("""COMPUTED_VALUE"""),"Mercè Cabrera")</f>
        <v>Mercè Cabrera</v>
      </c>
      <c r="R292" s="7"/>
    </row>
    <row r="293" spans="5:18">
      <c r="E293" s="7" t="str">
        <f ca="1">IFERROR(__xludf.DUMMYFUNCTION("""COMPUTED_VALUE"""),"Enrique Ruiz Veguilla")</f>
        <v>Enrique Ruiz Veguilla</v>
      </c>
      <c r="F293" s="7" t="str">
        <f ca="1">IFERROR(__xludf.DUMMYFUNCTION("""COMPUTED_VALUE"""),"LAA61")</f>
        <v>LAA61</v>
      </c>
      <c r="G293" s="7" t="str">
        <f ca="1">IFERROR(__xludf.DUMMYFUNCTION("""COMPUTED_VALUE"""),"Luis Alberto Rodríguez")</f>
        <v>Luis Alberto Rodríguez</v>
      </c>
      <c r="R293" s="7"/>
    </row>
    <row r="294" spans="5:18">
      <c r="E294" s="7" t="str">
        <f ca="1">IFERROR(__xludf.DUMMYFUNCTION("""COMPUTED_VALUE"""),"Enrique Viviente Rodríguez")</f>
        <v>Enrique Viviente Rodríguez</v>
      </c>
      <c r="F294" s="7" t="str">
        <f ca="1">IFERROR(__xludf.DUMMYFUNCTION("""COMPUTED_VALUE"""),"ISL25")</f>
        <v>ISL25</v>
      </c>
      <c r="G294" s="7" t="str">
        <f ca="1">IFERROR(__xludf.DUMMYFUNCTION("""COMPUTED_VALUE"""),"Iván Sánchez")</f>
        <v>Iván Sánchez</v>
      </c>
      <c r="R294" s="7"/>
    </row>
    <row r="295" spans="5:18">
      <c r="E295" s="7" t="str">
        <f ca="1">IFERROR(__xludf.DUMMYFUNCTION("""COMPUTED_VALUE"""),"Ernesto Sánchez Llanos")</f>
        <v>Ernesto Sánchez Llanos</v>
      </c>
      <c r="F295" s="7" t="str">
        <f ca="1">IFERROR(__xludf.DUMMYFUNCTION("""COMPUTED_VALUE"""),"LRM31")</f>
        <v>LRM31</v>
      </c>
      <c r="G295" s="7" t="str">
        <f ca="1">IFERROR(__xludf.DUMMYFUNCTION("""COMPUTED_VALUE"""),"Lisandro Russian")</f>
        <v>Lisandro Russian</v>
      </c>
      <c r="R295" s="7"/>
    </row>
    <row r="296" spans="5:18">
      <c r="E296" s="7" t="str">
        <f ca="1">IFERROR(__xludf.DUMMYFUNCTION("""COMPUTED_VALUE"""),"Ernesto Varela Martínez")</f>
        <v>Ernesto Varela Martínez</v>
      </c>
      <c r="F296" s="7" t="str">
        <f ca="1">IFERROR(__xludf.DUMMYFUNCTION("""COMPUTED_VALUE"""),"RPG12")</f>
        <v>RPG12</v>
      </c>
      <c r="G296" s="7" t="str">
        <f ca="1">IFERROR(__xludf.DUMMYFUNCTION("""COMPUTED_VALUE"""),"Roberto Pereira")</f>
        <v>Roberto Pereira</v>
      </c>
      <c r="R296" s="7"/>
    </row>
    <row r="297" spans="5:18">
      <c r="E297" s="7" t="str">
        <f ca="1">IFERROR(__xludf.DUMMYFUNCTION("""COMPUTED_VALUE"""),"Esteban Scola Pliego")</f>
        <v>Esteban Scola Pliego</v>
      </c>
      <c r="F297" s="7" t="str">
        <f ca="1">IFERROR(__xludf.DUMMYFUNCTION("""COMPUTED_VALUE"""),"MBM18")</f>
        <v>MBM18</v>
      </c>
      <c r="G297" s="7" t="str">
        <f ca="1">IFERROR(__xludf.DUMMYFUNCTION("""COMPUTED_VALUE"""),"Maika Blázquez")</f>
        <v>Maika Blázquez</v>
      </c>
      <c r="R297" s="7"/>
    </row>
    <row r="298" spans="5:18">
      <c r="E298" s="7" t="str">
        <f ca="1">IFERROR(__xludf.DUMMYFUNCTION("""COMPUTED_VALUE"""),"Estefanía Berrocal Postigo")</f>
        <v>Estefanía Berrocal Postigo</v>
      </c>
      <c r="F298" s="7" t="str">
        <f ca="1">IFERROR(__xludf.DUMMYFUNCTION("""COMPUTED_VALUE"""),"LAA47")</f>
        <v>LAA47</v>
      </c>
      <c r="G298" s="7" t="str">
        <f ca="1">IFERROR(__xludf.DUMMYFUNCTION("""COMPUTED_VALUE"""),"Luis Alberto Rodríguez")</f>
        <v>Luis Alberto Rodríguez</v>
      </c>
      <c r="R298" s="7"/>
    </row>
    <row r="299" spans="5:18">
      <c r="E299" s="7" t="str">
        <f ca="1">IFERROR(__xludf.DUMMYFUNCTION("""COMPUTED_VALUE"""),"Estefanía Lozano Reina")</f>
        <v>Estefanía Lozano Reina</v>
      </c>
      <c r="F299" s="7" t="str">
        <f ca="1">IFERROR(__xludf.DUMMYFUNCTION("""COMPUTED_VALUE"""),"LAA48")</f>
        <v>LAA48</v>
      </c>
      <c r="G299" s="7" t="str">
        <f ca="1">IFERROR(__xludf.DUMMYFUNCTION("""COMPUTED_VALUE"""),"Luis Alberto Rodríguez")</f>
        <v>Luis Alberto Rodríguez</v>
      </c>
      <c r="R299" s="7"/>
    </row>
    <row r="300" spans="5:18">
      <c r="E300" s="7" t="str">
        <f ca="1">IFERROR(__xludf.DUMMYFUNCTION("""COMPUTED_VALUE"""),"Estefania Miranda Sánchez")</f>
        <v>Estefania Miranda Sánchez</v>
      </c>
      <c r="F300" s="7" t="str">
        <f ca="1">IFERROR(__xludf.DUMMYFUNCTION("""COMPUTED_VALUE"""),"MBM113")</f>
        <v>MBM113</v>
      </c>
      <c r="G300" s="7" t="str">
        <f ca="1">IFERROR(__xludf.DUMMYFUNCTION("""COMPUTED_VALUE"""),"Maika Blázquez")</f>
        <v>Maika Blázquez</v>
      </c>
      <c r="R300" s="7"/>
    </row>
    <row r="301" spans="5:18">
      <c r="E301" s="7" t="str">
        <f ca="1">IFERROR(__xludf.DUMMYFUNCTION("""COMPUTED_VALUE"""),"Esther De La O Corrochano")</f>
        <v>Esther De La O Corrochano</v>
      </c>
      <c r="F301" s="7" t="str">
        <f ca="1">IFERROR(__xludf.DUMMYFUNCTION("""COMPUTED_VALUE"""),"LRM156")</f>
        <v>LRM156</v>
      </c>
      <c r="G301" s="7" t="str">
        <f ca="1">IFERROR(__xludf.DUMMYFUNCTION("""COMPUTED_VALUE"""),"Lisandro Russian")</f>
        <v>Lisandro Russian</v>
      </c>
      <c r="R301" s="7"/>
    </row>
    <row r="302" spans="5:18">
      <c r="E302" s="7" t="str">
        <f ca="1">IFERROR(__xludf.DUMMYFUNCTION("""COMPUTED_VALUE"""),"Esther García González")</f>
        <v>Esther García González</v>
      </c>
      <c r="F302" s="7" t="str">
        <f ca="1">IFERROR(__xludf.DUMMYFUNCTION("""COMPUTED_VALUE"""),"MBM227")</f>
        <v>MBM227</v>
      </c>
      <c r="G302" s="7" t="str">
        <f ca="1">IFERROR(__xludf.DUMMYFUNCTION("""COMPUTED_VALUE"""),"Maika Blázquez")</f>
        <v>Maika Blázquez</v>
      </c>
      <c r="R302" s="7"/>
    </row>
    <row r="303" spans="5:18">
      <c r="E303" s="7" t="str">
        <f ca="1">IFERROR(__xludf.DUMMYFUNCTION("""COMPUTED_VALUE"""),"Esther García López")</f>
        <v>Esther García López</v>
      </c>
      <c r="F303" s="7" t="str">
        <f ca="1">IFERROR(__xludf.DUMMYFUNCTION("""COMPUTED_VALUE"""),"MBM114")</f>
        <v>MBM114</v>
      </c>
      <c r="G303" s="7" t="str">
        <f ca="1">IFERROR(__xludf.DUMMYFUNCTION("""COMPUTED_VALUE"""),"Maika Blázquez")</f>
        <v>Maika Blázquez</v>
      </c>
      <c r="R303" s="7"/>
    </row>
    <row r="304" spans="5:18">
      <c r="E304" s="7" t="str">
        <f ca="1">IFERROR(__xludf.DUMMYFUNCTION("""COMPUTED_VALUE"""),"Esther Macon Liquete")</f>
        <v>Esther Macon Liquete</v>
      </c>
      <c r="F304" s="7" t="str">
        <f ca="1">IFERROR(__xludf.DUMMYFUNCTION("""COMPUTED_VALUE"""),"MBM115")</f>
        <v>MBM115</v>
      </c>
      <c r="G304" s="7" t="str">
        <f ca="1">IFERROR(__xludf.DUMMYFUNCTION("""COMPUTED_VALUE"""),"Maika Blázquez")</f>
        <v>Maika Blázquez</v>
      </c>
      <c r="R304" s="7"/>
    </row>
    <row r="305" spans="5:18">
      <c r="E305" s="7" t="str">
        <f ca="1">IFERROR(__xludf.DUMMYFUNCTION("""COMPUTED_VALUE"""),"Esther Montiel Diez")</f>
        <v>Esther Montiel Diez</v>
      </c>
      <c r="F305" s="7" t="str">
        <f ca="1">IFERROR(__xludf.DUMMYFUNCTION("""COMPUTED_VALUE"""),"LRM157")</f>
        <v>LRM157</v>
      </c>
      <c r="G305" s="7" t="str">
        <f ca="1">IFERROR(__xludf.DUMMYFUNCTION("""COMPUTED_VALUE"""),"Lisandro Russian")</f>
        <v>Lisandro Russian</v>
      </c>
      <c r="R305" s="7"/>
    </row>
    <row r="306" spans="5:18">
      <c r="E306" s="7" t="str">
        <f ca="1">IFERROR(__xludf.DUMMYFUNCTION("""COMPUTED_VALUE"""),"Estrella Gómez Tomé")</f>
        <v>Estrella Gómez Tomé</v>
      </c>
      <c r="F306" s="7" t="str">
        <f ca="1">IFERROR(__xludf.DUMMYFUNCTION("""COMPUTED_VALUE"""),"LRM158")</f>
        <v>LRM158</v>
      </c>
      <c r="G306" s="7" t="str">
        <f ca="1">IFERROR(__xludf.DUMMYFUNCTION("""COMPUTED_VALUE"""),"Lisandro Russian")</f>
        <v>Lisandro Russian</v>
      </c>
      <c r="R306" s="7"/>
    </row>
    <row r="307" spans="5:18">
      <c r="E307" s="7" t="str">
        <f ca="1">IFERROR(__xludf.DUMMYFUNCTION("""COMPUTED_VALUE"""),"Estrella Pallas Pallas")</f>
        <v>Estrella Pallas Pallas</v>
      </c>
      <c r="F307" s="7" t="str">
        <f ca="1">IFERROR(__xludf.DUMMYFUNCTION("""COMPUTED_VALUE"""),"RPG45")</f>
        <v>RPG45</v>
      </c>
      <c r="G307" s="7" t="str">
        <f ca="1">IFERROR(__xludf.DUMMYFUNCTION("""COMPUTED_VALUE"""),"Roberto Pereira")</f>
        <v>Roberto Pereira</v>
      </c>
      <c r="R307" s="7"/>
    </row>
    <row r="308" spans="5:18">
      <c r="E308" s="7" t="str">
        <f ca="1">IFERROR(__xludf.DUMMYFUNCTION("""COMPUTED_VALUE"""),"Eugenio Andrés Vicente González")</f>
        <v>Eugenio Andrés Vicente González</v>
      </c>
      <c r="F308" s="7" t="str">
        <f ca="1">IFERROR(__xludf.DUMMYFUNCTION("""COMPUTED_VALUE"""),"LRM32")</f>
        <v>LRM32</v>
      </c>
      <c r="G308" s="7" t="str">
        <f ca="1">IFERROR(__xludf.DUMMYFUNCTION("""COMPUTED_VALUE"""),"Lisandro Russian")</f>
        <v>Lisandro Russian</v>
      </c>
      <c r="R308" s="7"/>
    </row>
    <row r="309" spans="5:18">
      <c r="E309" s="7" t="str">
        <f ca="1">IFERROR(__xludf.DUMMYFUNCTION("""COMPUTED_VALUE"""),"Eusebio Bullido Gómez-Heras")</f>
        <v>Eusebio Bullido Gómez-Heras</v>
      </c>
      <c r="F309" s="7" t="str">
        <f ca="1">IFERROR(__xludf.DUMMYFUNCTION("""COMPUTED_VALUE"""),"MBM19")</f>
        <v>MBM19</v>
      </c>
      <c r="G309" s="7" t="str">
        <f ca="1">IFERROR(__xludf.DUMMYFUNCTION("""COMPUTED_VALUE"""),"Maika Blázquez")</f>
        <v>Maika Blázquez</v>
      </c>
      <c r="R309" s="7"/>
    </row>
    <row r="310" spans="5:18">
      <c r="E310" s="7" t="str">
        <f ca="1">IFERROR(__xludf.DUMMYFUNCTION("""COMPUTED_VALUE"""),"Eva María Llorente Arenas")</f>
        <v>Eva María Llorente Arenas</v>
      </c>
      <c r="F310" s="7" t="str">
        <f ca="1">IFERROR(__xludf.DUMMYFUNCTION("""COMPUTED_VALUE"""),"LRM159")</f>
        <v>LRM159</v>
      </c>
      <c r="G310" s="7" t="str">
        <f ca="1">IFERROR(__xludf.DUMMYFUNCTION("""COMPUTED_VALUE"""),"Lisandro Russian")</f>
        <v>Lisandro Russian</v>
      </c>
      <c r="R310" s="7"/>
    </row>
    <row r="311" spans="5:18">
      <c r="E311" s="7" t="str">
        <f ca="1">IFERROR(__xludf.DUMMYFUNCTION("""COMPUTED_VALUE"""),"Evaristo Perelló Senent")</f>
        <v>Evaristo Perelló Senent</v>
      </c>
      <c r="F311" s="7" t="str">
        <f ca="1">IFERROR(__xludf.DUMMYFUNCTION("""COMPUTED_VALUE"""),"ISL26")</f>
        <v>ISL26</v>
      </c>
      <c r="G311" s="7" t="str">
        <f ca="1">IFERROR(__xludf.DUMMYFUNCTION("""COMPUTED_VALUE"""),"Iván Sánchez")</f>
        <v>Iván Sánchez</v>
      </c>
      <c r="R311" s="7"/>
    </row>
    <row r="312" spans="5:18">
      <c r="E312" s="7" t="str">
        <f ca="1">IFERROR(__xludf.DUMMYFUNCTION("""COMPUTED_VALUE"""),"Evians Gómez De La Rosa")</f>
        <v>Evians Gómez De La Rosa</v>
      </c>
      <c r="F312" s="7" t="str">
        <f ca="1">IFERROR(__xludf.DUMMYFUNCTION("""COMPUTED_VALUE"""),"MCC11")</f>
        <v>MCC11</v>
      </c>
      <c r="G312" s="7" t="str">
        <f ca="1">IFERROR(__xludf.DUMMYFUNCTION("""COMPUTED_VALUE"""),"Mercè Cabrera")</f>
        <v>Mercè Cabrera</v>
      </c>
      <c r="R312" s="7"/>
    </row>
    <row r="313" spans="5:18">
      <c r="E313" s="7" t="str">
        <f ca="1">IFERROR(__xludf.DUMMYFUNCTION("""COMPUTED_VALUE"""),"Eviatar Friedlander")</f>
        <v>Eviatar Friedlander</v>
      </c>
      <c r="F313" s="7" t="str">
        <f ca="1">IFERROR(__xludf.DUMMYFUNCTION("""COMPUTED_VALUE"""),"MBM20")</f>
        <v>MBM20</v>
      </c>
      <c r="G313" s="7" t="str">
        <f ca="1">IFERROR(__xludf.DUMMYFUNCTION("""COMPUTED_VALUE"""),"Maika Blázquez")</f>
        <v>Maika Blázquez</v>
      </c>
      <c r="R313" s="7"/>
    </row>
    <row r="314" spans="5:18">
      <c r="E314" s="7" t="str">
        <f ca="1">IFERROR(__xludf.DUMMYFUNCTION("""COMPUTED_VALUE"""),"Fabio Fernández Mateos")</f>
        <v>Fabio Fernández Mateos</v>
      </c>
      <c r="F314" s="7" t="str">
        <f ca="1">IFERROR(__xludf.DUMMYFUNCTION("""COMPUTED_VALUE"""),"MBM225")</f>
        <v>MBM225</v>
      </c>
      <c r="G314" s="7" t="str">
        <f ca="1">IFERROR(__xludf.DUMMYFUNCTION("""COMPUTED_VALUE"""),"Maika Blázquez")</f>
        <v>Maika Blázquez</v>
      </c>
      <c r="R314" s="7"/>
    </row>
    <row r="315" spans="5:18">
      <c r="E315" s="7" t="str">
        <f ca="1">IFERROR(__xludf.DUMMYFUNCTION("""COMPUTED_VALUE"""),"Fátima Sánchez Viudo")</f>
        <v>Fátima Sánchez Viudo</v>
      </c>
      <c r="F315" s="7" t="str">
        <f ca="1">IFERROR(__xludf.DUMMYFUNCTION("""COMPUTED_VALUE"""),"MBM116")</f>
        <v>MBM116</v>
      </c>
      <c r="G315" s="7" t="str">
        <f ca="1">IFERROR(__xludf.DUMMYFUNCTION("""COMPUTED_VALUE"""),"Maika Blázquez")</f>
        <v>Maika Blázquez</v>
      </c>
      <c r="R315" s="7"/>
    </row>
    <row r="316" spans="5:18">
      <c r="E316" s="7" t="str">
        <f ca="1">IFERROR(__xludf.DUMMYFUNCTION("""COMPUTED_VALUE"""),"Fe Rubio Escolano")</f>
        <v>Fe Rubio Escolano</v>
      </c>
      <c r="F316" s="7" t="str">
        <f ca="1">IFERROR(__xludf.DUMMYFUNCTION("""COMPUTED_VALUE"""),"RFV29")</f>
        <v>RFV29</v>
      </c>
      <c r="G316" s="7" t="str">
        <f ca="1">IFERROR(__xludf.DUMMYFUNCTION("""COMPUTED_VALUE"""),"Ramon Ferrando")</f>
        <v>Ramon Ferrando</v>
      </c>
      <c r="R316" s="7"/>
    </row>
    <row r="317" spans="5:18">
      <c r="E317" s="7" t="str">
        <f ca="1">IFERROR(__xludf.DUMMYFUNCTION("""COMPUTED_VALUE"""),"Federico Arrutia diez")</f>
        <v>Federico Arrutia diez</v>
      </c>
      <c r="F317" s="7" t="str">
        <f ca="1">IFERROR(__xludf.DUMMYFUNCTION("""COMPUTED_VALUE"""),"AMM03")</f>
        <v>AMM03</v>
      </c>
      <c r="G317" s="7" t="str">
        <f ca="1">IFERROR(__xludf.DUMMYFUNCTION("""COMPUTED_VALUE"""),"Alberto Moreno")</f>
        <v>Alberto Moreno</v>
      </c>
      <c r="R317" s="7"/>
    </row>
    <row r="318" spans="5:18">
      <c r="E318" s="7" t="str">
        <f ca="1">IFERROR(__xludf.DUMMYFUNCTION("""COMPUTED_VALUE"""),"Federico Mangada Martínez")</f>
        <v>Federico Mangada Martínez</v>
      </c>
      <c r="F318" s="7" t="str">
        <f ca="1">IFERROR(__xludf.DUMMYFUNCTION("""COMPUTED_VALUE"""),"ISL27")</f>
        <v>ISL27</v>
      </c>
      <c r="G318" s="7" t="str">
        <f ca="1">IFERROR(__xludf.DUMMYFUNCTION("""COMPUTED_VALUE"""),"Iván Sánchez")</f>
        <v>Iván Sánchez</v>
      </c>
      <c r="R318" s="7"/>
    </row>
    <row r="319" spans="5:18">
      <c r="E319" s="7" t="str">
        <f ca="1">IFERROR(__xludf.DUMMYFUNCTION("""COMPUTED_VALUE"""),"Felipe Ahumada Alarcón")</f>
        <v>Felipe Ahumada Alarcón</v>
      </c>
      <c r="F319" s="7" t="str">
        <f ca="1">IFERROR(__xludf.DUMMYFUNCTION("""COMPUTED_VALUE"""),"LRM34")</f>
        <v>LRM34</v>
      </c>
      <c r="G319" s="7" t="str">
        <f ca="1">IFERROR(__xludf.DUMMYFUNCTION("""COMPUTED_VALUE"""),"Lisandro Russian")</f>
        <v>Lisandro Russian</v>
      </c>
      <c r="R319" s="7"/>
    </row>
    <row r="320" spans="5:18">
      <c r="E320" s="7" t="str">
        <f ca="1">IFERROR(__xludf.DUMMYFUNCTION("""COMPUTED_VALUE"""),"Felipe Ferrer Baixaulí")</f>
        <v>Felipe Ferrer Baixaulí</v>
      </c>
      <c r="F320" s="7" t="str">
        <f ca="1">IFERROR(__xludf.DUMMYFUNCTION("""COMPUTED_VALUE"""),"RFV12")</f>
        <v>RFV12</v>
      </c>
      <c r="G320" s="7" t="str">
        <f ca="1">IFERROR(__xludf.DUMMYFUNCTION("""COMPUTED_VALUE"""),"Ramon Ferrando")</f>
        <v>Ramon Ferrando</v>
      </c>
      <c r="R320" s="7"/>
    </row>
    <row r="321" spans="5:18">
      <c r="E321" s="7" t="str">
        <f ca="1">IFERROR(__xludf.DUMMYFUNCTION("""COMPUTED_VALUE"""),"Felipe López Hernández")</f>
        <v>Felipe López Hernández</v>
      </c>
      <c r="F321" s="7" t="str">
        <f ca="1">IFERROR(__xludf.DUMMYFUNCTION("""COMPUTED_VALUE"""),"MCC12")</f>
        <v>MCC12</v>
      </c>
      <c r="G321" s="7" t="str">
        <f ca="1">IFERROR(__xludf.DUMMYFUNCTION("""COMPUTED_VALUE"""),"Mercè Cabrera")</f>
        <v>Mercè Cabrera</v>
      </c>
      <c r="R321" s="7"/>
    </row>
    <row r="322" spans="5:18">
      <c r="E322" s="7" t="str">
        <f ca="1">IFERROR(__xludf.DUMMYFUNCTION("""COMPUTED_VALUE"""),"Félix De Miguel García")</f>
        <v>Félix De Miguel García</v>
      </c>
      <c r="F322" s="7" t="str">
        <f ca="1">IFERROR(__xludf.DUMMYFUNCTION("""COMPUTED_VALUE"""),"LRM35")</f>
        <v>LRM35</v>
      </c>
      <c r="G322" s="7" t="str">
        <f ca="1">IFERROR(__xludf.DUMMYFUNCTION("""COMPUTED_VALUE"""),"Lisandro Russian")</f>
        <v>Lisandro Russian</v>
      </c>
      <c r="R322" s="7"/>
    </row>
    <row r="323" spans="5:18">
      <c r="E323" s="7" t="str">
        <f ca="1">IFERROR(__xludf.DUMMYFUNCTION("""COMPUTED_VALUE"""),"Félix García García")</f>
        <v>Félix García García</v>
      </c>
      <c r="F323" s="7" t="str">
        <f ca="1">IFERROR(__xludf.DUMMYFUNCTION("""COMPUTED_VALUE"""),"PSC07")</f>
        <v>PSC07</v>
      </c>
      <c r="G323" s="7" t="str">
        <f ca="1">IFERROR(__xludf.DUMMYFUNCTION("""COMPUTED_VALUE"""),"Patricia Solache")</f>
        <v>Patricia Solache</v>
      </c>
      <c r="R323" s="7"/>
    </row>
    <row r="324" spans="5:18">
      <c r="E324" s="7" t="str">
        <f ca="1">IFERROR(__xludf.DUMMYFUNCTION("""COMPUTED_VALUE"""),"Félix Pascual García Ortega")</f>
        <v>Félix Pascual García Ortega</v>
      </c>
      <c r="F324" s="7" t="str">
        <f ca="1">IFERROR(__xludf.DUMMYFUNCTION("""COMPUTED_VALUE"""),"ISL28")</f>
        <v>ISL28</v>
      </c>
      <c r="G324" s="7" t="str">
        <f ca="1">IFERROR(__xludf.DUMMYFUNCTION("""COMPUTED_VALUE"""),"Iván Sánchez")</f>
        <v>Iván Sánchez</v>
      </c>
      <c r="R324" s="7"/>
    </row>
    <row r="325" spans="5:18">
      <c r="E325" s="7" t="str">
        <f ca="1">IFERROR(__xludf.DUMMYFUNCTION("""COMPUTED_VALUE"""),"Félix Rodríguez Paz")</f>
        <v>Félix Rodríguez Paz</v>
      </c>
      <c r="F325" s="7" t="str">
        <f ca="1">IFERROR(__xludf.DUMMYFUNCTION("""COMPUTED_VALUE"""),"MBM21")</f>
        <v>MBM21</v>
      </c>
      <c r="G325" s="7" t="str">
        <f ca="1">IFERROR(__xludf.DUMMYFUNCTION("""COMPUTED_VALUE"""),"Maika Blázquez")</f>
        <v>Maika Blázquez</v>
      </c>
      <c r="R325" s="7"/>
    </row>
    <row r="326" spans="5:18">
      <c r="E326" s="7" t="str">
        <f ca="1">IFERROR(__xludf.DUMMYFUNCTION("""COMPUTED_VALUE"""),"Félix Ruíz De La Cuesta Juste")</f>
        <v>Félix Ruíz De La Cuesta Juste</v>
      </c>
      <c r="F326" s="7" t="str">
        <f ca="1">IFERROR(__xludf.DUMMYFUNCTION("""COMPUTED_VALUE"""),"ISL29")</f>
        <v>ISL29</v>
      </c>
      <c r="G326" s="7" t="str">
        <f ca="1">IFERROR(__xludf.DUMMYFUNCTION("""COMPUTED_VALUE"""),"Iván Sánchez")</f>
        <v>Iván Sánchez</v>
      </c>
      <c r="R326" s="7"/>
    </row>
    <row r="327" spans="5:18">
      <c r="E327" s="7" t="str">
        <f ca="1">IFERROR(__xludf.DUMMYFUNCTION("""COMPUTED_VALUE"""),"Fernando Aguador Ayneto")</f>
        <v>Fernando Aguador Ayneto</v>
      </c>
      <c r="F327" s="7" t="str">
        <f ca="1">IFERROR(__xludf.DUMMYFUNCTION("""COMPUTED_VALUE"""),"LRM36")</f>
        <v>LRM36</v>
      </c>
      <c r="G327" s="7" t="str">
        <f ca="1">IFERROR(__xludf.DUMMYFUNCTION("""COMPUTED_VALUE"""),"Lisandro Russian")</f>
        <v>Lisandro Russian</v>
      </c>
      <c r="R327" s="7"/>
    </row>
    <row r="328" spans="5:18">
      <c r="E328" s="7" t="str">
        <f ca="1">IFERROR(__xludf.DUMMYFUNCTION("""COMPUTED_VALUE"""),"Fernando Cristóbal")</f>
        <v>Fernando Cristóbal</v>
      </c>
      <c r="F328" s="7" t="str">
        <f ca="1">IFERROR(__xludf.DUMMYFUNCTION("""COMPUTED_VALUE"""),"MBM22")</f>
        <v>MBM22</v>
      </c>
      <c r="G328" s="7" t="str">
        <f ca="1">IFERROR(__xludf.DUMMYFUNCTION("""COMPUTED_VALUE"""),"Maika Blázquez")</f>
        <v>Maika Blázquez</v>
      </c>
      <c r="R328" s="7"/>
    </row>
    <row r="329" spans="5:18">
      <c r="E329" s="7" t="str">
        <f ca="1">IFERROR(__xludf.DUMMYFUNCTION("""COMPUTED_VALUE"""),"Fernando De La Cierva Benito")</f>
        <v>Fernando De La Cierva Benito</v>
      </c>
      <c r="F329" s="7" t="str">
        <f ca="1">IFERROR(__xludf.DUMMYFUNCTION("""COMPUTED_VALUE"""),"MBM23")</f>
        <v>MBM23</v>
      </c>
      <c r="G329" s="7" t="str">
        <f ca="1">IFERROR(__xludf.DUMMYFUNCTION("""COMPUTED_VALUE"""),"Maika Blázquez")</f>
        <v>Maika Blázquez</v>
      </c>
      <c r="R329" s="7"/>
    </row>
    <row r="330" spans="5:18">
      <c r="E330" s="7" t="str">
        <f ca="1">IFERROR(__xludf.DUMMYFUNCTION("""COMPUTED_VALUE"""),"Fernando Franco Calvo")</f>
        <v>Fernando Franco Calvo</v>
      </c>
      <c r="F330" s="7" t="str">
        <f ca="1">IFERROR(__xludf.DUMMYFUNCTION("""COMPUTED_VALUE"""),"PSC08")</f>
        <v>PSC08</v>
      </c>
      <c r="G330" s="7" t="str">
        <f ca="1">IFERROR(__xludf.DUMMYFUNCTION("""COMPUTED_VALUE"""),"Patricia Solache")</f>
        <v>Patricia Solache</v>
      </c>
      <c r="R330" s="7"/>
    </row>
    <row r="331" spans="5:18">
      <c r="E331" s="7" t="str">
        <f ca="1">IFERROR(__xludf.DUMMYFUNCTION("""COMPUTED_VALUE"""),"Fernando García Alcántara")</f>
        <v>Fernando García Alcántara</v>
      </c>
      <c r="F331" s="7" t="str">
        <f ca="1">IFERROR(__xludf.DUMMYFUNCTION("""COMPUTED_VALUE"""),"MBM24")</f>
        <v>MBM24</v>
      </c>
      <c r="G331" s="7" t="str">
        <f ca="1">IFERROR(__xludf.DUMMYFUNCTION("""COMPUTED_VALUE"""),"Maika Blázquez")</f>
        <v>Maika Blázquez</v>
      </c>
      <c r="R331" s="7"/>
    </row>
    <row r="332" spans="5:18">
      <c r="E332" s="7" t="str">
        <f ca="1">IFERROR(__xludf.DUMMYFUNCTION("""COMPUTED_VALUE"""),"Fernando Jiménez Gosa")</f>
        <v>Fernando Jiménez Gosa</v>
      </c>
      <c r="F332" s="7" t="str">
        <f ca="1">IFERROR(__xludf.DUMMYFUNCTION("""COMPUTED_VALUE"""),"LRM37")</f>
        <v>LRM37</v>
      </c>
      <c r="G332" s="7" t="str">
        <f ca="1">IFERROR(__xludf.DUMMYFUNCTION("""COMPUTED_VALUE"""),"Lisandro Russian")</f>
        <v>Lisandro Russian</v>
      </c>
      <c r="R332" s="7"/>
    </row>
    <row r="333" spans="5:18">
      <c r="E333" s="7" t="str">
        <f ca="1">IFERROR(__xludf.DUMMYFUNCTION("""COMPUTED_VALUE"""),"Fernando Martín Peña")</f>
        <v>Fernando Martín Peña</v>
      </c>
      <c r="F333" s="7" t="str">
        <f ca="1">IFERROR(__xludf.DUMMYFUNCTION("""COMPUTED_VALUE"""),"AMM22")</f>
        <v>AMM22</v>
      </c>
      <c r="G333" s="7" t="str">
        <f ca="1">IFERROR(__xludf.DUMMYFUNCTION("""COMPUTED_VALUE"""),"Alberto Moreno")</f>
        <v>Alberto Moreno</v>
      </c>
      <c r="R333" s="7"/>
    </row>
    <row r="334" spans="5:18">
      <c r="E334" s="7" t="str">
        <f ca="1">IFERROR(__xludf.DUMMYFUNCTION("""COMPUTED_VALUE"""),"Fernando Moliner Peiró")</f>
        <v>Fernando Moliner Peiró</v>
      </c>
      <c r="F334" s="7" t="str">
        <f ca="1">IFERROR(__xludf.DUMMYFUNCTION("""COMPUTED_VALUE"""),"LRM38")</f>
        <v>LRM38</v>
      </c>
      <c r="G334" s="7" t="str">
        <f ca="1">IFERROR(__xludf.DUMMYFUNCTION("""COMPUTED_VALUE"""),"Lisandro Russian")</f>
        <v>Lisandro Russian</v>
      </c>
      <c r="R334" s="7"/>
    </row>
    <row r="335" spans="5:18">
      <c r="E335" s="7" t="str">
        <f ca="1">IFERROR(__xludf.DUMMYFUNCTION("""COMPUTED_VALUE"""),"Fernando Salazar Barcelona")</f>
        <v>Fernando Salazar Barcelona</v>
      </c>
      <c r="F335" s="7" t="str">
        <f ca="1">IFERROR(__xludf.DUMMYFUNCTION("""COMPUTED_VALUE"""),"LRM39")</f>
        <v>LRM39</v>
      </c>
      <c r="G335" s="7" t="str">
        <f ca="1">IFERROR(__xludf.DUMMYFUNCTION("""COMPUTED_VALUE"""),"Lisandro Russian")</f>
        <v>Lisandro Russian</v>
      </c>
      <c r="R335" s="7"/>
    </row>
    <row r="336" spans="5:18">
      <c r="E336" s="7" t="str">
        <f ca="1">IFERROR(__xludf.DUMMYFUNCTION("""COMPUTED_VALUE"""),"Fernando Vizmanos Sevilla")</f>
        <v>Fernando Vizmanos Sevilla</v>
      </c>
      <c r="F336" s="7" t="str">
        <f ca="1">IFERROR(__xludf.DUMMYFUNCTION("""COMPUTED_VALUE"""),"LRM40")</f>
        <v>LRM40</v>
      </c>
      <c r="G336" s="7" t="str">
        <f ca="1">IFERROR(__xludf.DUMMYFUNCTION("""COMPUTED_VALUE"""),"Lisandro Russian")</f>
        <v>Lisandro Russian</v>
      </c>
      <c r="R336" s="7"/>
    </row>
    <row r="337" spans="5:18">
      <c r="E337" s="7" t="str">
        <f ca="1">IFERROR(__xludf.DUMMYFUNCTION("""COMPUTED_VALUE"""),"Ferran Ballesteros Alonso")</f>
        <v>Ferran Ballesteros Alonso</v>
      </c>
      <c r="F337" s="7" t="str">
        <f ca="1">IFERROR(__xludf.DUMMYFUNCTION("""COMPUTED_VALUE"""),"MCC13")</f>
        <v>MCC13</v>
      </c>
      <c r="G337" s="7" t="str">
        <f ca="1">IFERROR(__xludf.DUMMYFUNCTION("""COMPUTED_VALUE"""),"Mercè Cabrera")</f>
        <v>Mercè Cabrera</v>
      </c>
      <c r="R337" s="7"/>
    </row>
    <row r="338" spans="5:18">
      <c r="E338" s="7" t="str">
        <f ca="1">IFERROR(__xludf.DUMMYFUNCTION("""COMPUTED_VALUE"""),"Fiorella Marcino Moreira")</f>
        <v>Fiorella Marcino Moreira</v>
      </c>
      <c r="F338" s="7" t="str">
        <f ca="1">IFERROR(__xludf.DUMMYFUNCTION("""COMPUTED_VALUE"""),"ISL30")</f>
        <v>ISL30</v>
      </c>
      <c r="G338" s="7" t="str">
        <f ca="1">IFERROR(__xludf.DUMMYFUNCTION("""COMPUTED_VALUE"""),"Iván Sánchez")</f>
        <v>Iván Sánchez</v>
      </c>
      <c r="R338" s="7"/>
    </row>
    <row r="339" spans="5:18">
      <c r="E339" s="7" t="str">
        <f ca="1">IFERROR(__xludf.DUMMYFUNCTION("""COMPUTED_VALUE"""),"Francesc Larrosa Díaz")</f>
        <v>Francesc Larrosa Díaz</v>
      </c>
      <c r="F339" s="7" t="str">
        <f ca="1">IFERROR(__xludf.DUMMYFUNCTION("""COMPUTED_VALUE"""),"MCC14")</f>
        <v>MCC14</v>
      </c>
      <c r="G339" s="7" t="str">
        <f ca="1">IFERROR(__xludf.DUMMYFUNCTION("""COMPUTED_VALUE"""),"Mercè Cabrera")</f>
        <v>Mercè Cabrera</v>
      </c>
      <c r="R339" s="7"/>
    </row>
    <row r="340" spans="5:18">
      <c r="E340" s="7" t="str">
        <f ca="1">IFERROR(__xludf.DUMMYFUNCTION("""COMPUTED_VALUE"""),"Francesc Xavier Pujolas Graboleda")</f>
        <v>Francesc Xavier Pujolas Graboleda</v>
      </c>
      <c r="F340" s="7" t="str">
        <f ca="1">IFERROR(__xludf.DUMMYFUNCTION("""COMPUTED_VALUE"""),"AMM04")</f>
        <v>AMM04</v>
      </c>
      <c r="G340" s="7" t="str">
        <f ca="1">IFERROR(__xludf.DUMMYFUNCTION("""COMPUTED_VALUE"""),"Alberto Moreno")</f>
        <v>Alberto Moreno</v>
      </c>
      <c r="R340" s="7"/>
    </row>
    <row r="341" spans="5:18">
      <c r="E341" s="7" t="str">
        <f ca="1">IFERROR(__xludf.DUMMYFUNCTION("""COMPUTED_VALUE"""),"Francisco Alés Conejo")</f>
        <v>Francisco Alés Conejo</v>
      </c>
      <c r="F341" s="7" t="str">
        <f ca="1">IFERROR(__xludf.DUMMYFUNCTION("""COMPUTED_VALUE"""),"LAA10")</f>
        <v>LAA10</v>
      </c>
      <c r="G341" s="7" t="str">
        <f ca="1">IFERROR(__xludf.DUMMYFUNCTION("""COMPUTED_VALUE"""),"Luis Alberto Rodríguez")</f>
        <v>Luis Alberto Rodríguez</v>
      </c>
      <c r="R341" s="7"/>
    </row>
    <row r="342" spans="5:18">
      <c r="E342" s="7" t="str">
        <f ca="1">IFERROR(__xludf.DUMMYFUNCTION("""COMPUTED_VALUE"""),"Francisco Álvaro Rodríguez Rodríguez")</f>
        <v>Francisco Álvaro Rodríguez Rodríguez</v>
      </c>
      <c r="F342" s="7" t="str">
        <f ca="1">IFERROR(__xludf.DUMMYFUNCTION("""COMPUTED_VALUE"""),"LRM41")</f>
        <v>LRM41</v>
      </c>
      <c r="G342" s="7" t="str">
        <f ca="1">IFERROR(__xludf.DUMMYFUNCTION("""COMPUTED_VALUE"""),"Lisandro Russian")</f>
        <v>Lisandro Russian</v>
      </c>
      <c r="R342" s="7"/>
    </row>
    <row r="343" spans="5:18">
      <c r="E343" s="7" t="str">
        <f ca="1">IFERROR(__xludf.DUMMYFUNCTION("""COMPUTED_VALUE"""),"Francisco Antonio Pérez Fernández")</f>
        <v>Francisco Antonio Pérez Fernández</v>
      </c>
      <c r="F343" s="7" t="str">
        <f ca="1">IFERROR(__xludf.DUMMYFUNCTION("""COMPUTED_VALUE"""),"LAA11")</f>
        <v>LAA11</v>
      </c>
      <c r="G343" s="7" t="str">
        <f ca="1">IFERROR(__xludf.DUMMYFUNCTION("""COMPUTED_VALUE"""),"Luis Alberto Rodríguez")</f>
        <v>Luis Alberto Rodríguez</v>
      </c>
      <c r="R343" s="7"/>
    </row>
    <row r="344" spans="5:18">
      <c r="E344" s="7" t="str">
        <f ca="1">IFERROR(__xludf.DUMMYFUNCTION("""COMPUTED_VALUE"""),"Francisco Argudo Marco")</f>
        <v>Francisco Argudo Marco</v>
      </c>
      <c r="F344" s="7" t="str">
        <f ca="1">IFERROR(__xludf.DUMMYFUNCTION("""COMPUTED_VALUE"""),"ISL31")</f>
        <v>ISL31</v>
      </c>
      <c r="G344" s="7" t="str">
        <f ca="1">IFERROR(__xludf.DUMMYFUNCTION("""COMPUTED_VALUE"""),"Iván Sánchez")</f>
        <v>Iván Sánchez</v>
      </c>
      <c r="R344" s="7"/>
    </row>
    <row r="345" spans="5:18">
      <c r="E345" s="7" t="str">
        <f ca="1">IFERROR(__xludf.DUMMYFUNCTION("""COMPUTED_VALUE"""),"Francisco Delgado Álvarez")</f>
        <v>Francisco Delgado Álvarez</v>
      </c>
      <c r="F345" s="7" t="str">
        <f ca="1">IFERROR(__xludf.DUMMYFUNCTION("""COMPUTED_VALUE"""),"LAA12")</f>
        <v>LAA12</v>
      </c>
      <c r="G345" s="7" t="str">
        <f ca="1">IFERROR(__xludf.DUMMYFUNCTION("""COMPUTED_VALUE"""),"Luis Alberto Rodríguez")</f>
        <v>Luis Alberto Rodríguez</v>
      </c>
      <c r="R345" s="7"/>
    </row>
    <row r="346" spans="5:18">
      <c r="E346" s="7" t="str">
        <f ca="1">IFERROR(__xludf.DUMMYFUNCTION("""COMPUTED_VALUE"""),"Francisco García Purriños")</f>
        <v>Francisco García Purriños</v>
      </c>
      <c r="F346" s="7" t="str">
        <f ca="1">IFERROR(__xludf.DUMMYFUNCTION("""COMPUTED_VALUE"""),"ISL32")</f>
        <v>ISL32</v>
      </c>
      <c r="G346" s="7" t="str">
        <f ca="1">IFERROR(__xludf.DUMMYFUNCTION("""COMPUTED_VALUE"""),"Iván Sánchez")</f>
        <v>Iván Sánchez</v>
      </c>
      <c r="R346" s="7"/>
    </row>
    <row r="347" spans="5:18">
      <c r="E347" s="7" t="str">
        <f ca="1">IFERROR(__xludf.DUMMYFUNCTION("""COMPUTED_VALUE"""),"Francisco Javier Aguilar Vera")</f>
        <v>Francisco Javier Aguilar Vera</v>
      </c>
      <c r="F347" s="7" t="str">
        <f ca="1">IFERROR(__xludf.DUMMYFUNCTION("""COMPUTED_VALUE"""),"LAA13")</f>
        <v>LAA13</v>
      </c>
      <c r="G347" s="7" t="str">
        <f ca="1">IFERROR(__xludf.DUMMYFUNCTION("""COMPUTED_VALUE"""),"Luis Alberto Rodríguez")</f>
        <v>Luis Alberto Rodríguez</v>
      </c>
      <c r="R347" s="7"/>
    </row>
    <row r="348" spans="5:18">
      <c r="E348" s="7" t="str">
        <f ca="1">IFERROR(__xludf.DUMMYFUNCTION("""COMPUTED_VALUE"""),"Francisco Javier Cerdán Baeza")</f>
        <v>Francisco Javier Cerdán Baeza</v>
      </c>
      <c r="F348" s="7" t="str">
        <f ca="1">IFERROR(__xludf.DUMMYFUNCTION("""COMPUTED_VALUE"""),"ISL33")</f>
        <v>ISL33</v>
      </c>
      <c r="G348" s="7" t="str">
        <f ca="1">IFERROR(__xludf.DUMMYFUNCTION("""COMPUTED_VALUE"""),"Iván Sánchez")</f>
        <v>Iván Sánchez</v>
      </c>
      <c r="R348" s="7"/>
    </row>
    <row r="349" spans="5:18">
      <c r="E349" s="7" t="str">
        <f ca="1">IFERROR(__xludf.DUMMYFUNCTION("""COMPUTED_VALUE"""),"Francisco Javier Guerra Blanco")</f>
        <v>Francisco Javier Guerra Blanco</v>
      </c>
      <c r="F349" s="7" t="str">
        <f ca="1">IFERROR(__xludf.DUMMYFUNCTION("""COMPUTED_VALUE"""),"LRM42")</f>
        <v>LRM42</v>
      </c>
      <c r="G349" s="7" t="str">
        <f ca="1">IFERROR(__xludf.DUMMYFUNCTION("""COMPUTED_VALUE"""),"Lisandro Russian")</f>
        <v>Lisandro Russian</v>
      </c>
      <c r="R349" s="7"/>
    </row>
    <row r="350" spans="5:18">
      <c r="E350" s="7" t="str">
        <f ca="1">IFERROR(__xludf.DUMMYFUNCTION("""COMPUTED_VALUE"""),"Francisco Javier Lage Fernández")</f>
        <v>Francisco Javier Lage Fernández</v>
      </c>
      <c r="F350" s="7" t="str">
        <f ca="1">IFERROR(__xludf.DUMMYFUNCTION("""COMPUTED_VALUE"""),"RPG13")</f>
        <v>RPG13</v>
      </c>
      <c r="G350" s="7" t="str">
        <f ca="1">IFERROR(__xludf.DUMMYFUNCTION("""COMPUTED_VALUE"""),"Roberto Pereira")</f>
        <v>Roberto Pereira</v>
      </c>
      <c r="R350" s="7"/>
    </row>
    <row r="351" spans="5:18">
      <c r="E351" s="7" t="str">
        <f ca="1">IFERROR(__xludf.DUMMYFUNCTION("""COMPUTED_VALUE"""),"Francisco Javier Molla Rudiez")</f>
        <v>Francisco Javier Molla Rudiez</v>
      </c>
      <c r="F351" s="7" t="str">
        <f ca="1">IFERROR(__xludf.DUMMYFUNCTION("""COMPUTED_VALUE"""),"LRM43")</f>
        <v>LRM43</v>
      </c>
      <c r="G351" s="7" t="str">
        <f ca="1">IFERROR(__xludf.DUMMYFUNCTION("""COMPUTED_VALUE"""),"Lisandro Russian")</f>
        <v>Lisandro Russian</v>
      </c>
      <c r="R351" s="7"/>
    </row>
    <row r="352" spans="5:18">
      <c r="E352" s="7" t="str">
        <f ca="1">IFERROR(__xludf.DUMMYFUNCTION("""COMPUTED_VALUE"""),"Francisco Javier Redondo Del Barco")</f>
        <v>Francisco Javier Redondo Del Barco</v>
      </c>
      <c r="F352" s="7" t="str">
        <f ca="1">IFERROR(__xludf.DUMMYFUNCTION("""COMPUTED_VALUE"""),"LRM44")</f>
        <v>LRM44</v>
      </c>
      <c r="G352" s="7" t="str">
        <f ca="1">IFERROR(__xludf.DUMMYFUNCTION("""COMPUTED_VALUE"""),"Lisandro Russian")</f>
        <v>Lisandro Russian</v>
      </c>
      <c r="R352" s="7"/>
    </row>
    <row r="353" spans="5:18">
      <c r="E353" s="7" t="str">
        <f ca="1">IFERROR(__xludf.DUMMYFUNCTION("""COMPUTED_VALUE"""),"Francisco José Aguado Martínez")</f>
        <v>Francisco José Aguado Martínez</v>
      </c>
      <c r="F353" s="7" t="str">
        <f ca="1">IFERROR(__xludf.DUMMYFUNCTION("""COMPUTED_VALUE"""),"LAA14")</f>
        <v>LAA14</v>
      </c>
      <c r="G353" s="7" t="str">
        <f ca="1">IFERROR(__xludf.DUMMYFUNCTION("""COMPUTED_VALUE"""),"Luis Alberto Rodríguez")</f>
        <v>Luis Alberto Rodríguez</v>
      </c>
      <c r="R353" s="7"/>
    </row>
    <row r="354" spans="5:18">
      <c r="E354" s="7" t="str">
        <f ca="1">IFERROR(__xludf.DUMMYFUNCTION("""COMPUTED_VALUE"""),"Francisco José Estrada Molina")</f>
        <v>Francisco José Estrada Molina</v>
      </c>
      <c r="F354" s="7" t="str">
        <f ca="1">IFERROR(__xludf.DUMMYFUNCTION("""COMPUTED_VALUE"""),"LAA15")</f>
        <v>LAA15</v>
      </c>
      <c r="G354" s="7" t="str">
        <f ca="1">IFERROR(__xludf.DUMMYFUNCTION("""COMPUTED_VALUE"""),"Luis Alberto Rodríguez")</f>
        <v>Luis Alberto Rodríguez</v>
      </c>
      <c r="R354" s="7"/>
    </row>
    <row r="355" spans="5:18">
      <c r="E355" s="7" t="str">
        <f ca="1">IFERROR(__xludf.DUMMYFUNCTION("""COMPUTED_VALUE"""),"Francisco López Navas")</f>
        <v>Francisco López Navas</v>
      </c>
      <c r="F355" s="7" t="str">
        <f ca="1">IFERROR(__xludf.DUMMYFUNCTION("""COMPUTED_VALUE"""),"LAA16")</f>
        <v>LAA16</v>
      </c>
      <c r="G355" s="7" t="str">
        <f ca="1">IFERROR(__xludf.DUMMYFUNCTION("""COMPUTED_VALUE"""),"Luis Alberto Rodríguez")</f>
        <v>Luis Alberto Rodríguez</v>
      </c>
      <c r="R355" s="7"/>
    </row>
    <row r="356" spans="5:18">
      <c r="E356" s="7" t="str">
        <f ca="1">IFERROR(__xludf.DUMMYFUNCTION("""COMPUTED_VALUE"""),"Francisco Lorenzo Molina")</f>
        <v>Francisco Lorenzo Molina</v>
      </c>
      <c r="F356" s="7" t="str">
        <f ca="1">IFERROR(__xludf.DUMMYFUNCTION("""COMPUTED_VALUE"""),"LRM45")</f>
        <v>LRM45</v>
      </c>
      <c r="G356" s="7" t="str">
        <f ca="1">IFERROR(__xludf.DUMMYFUNCTION("""COMPUTED_VALUE"""),"Lisandro Russian")</f>
        <v>Lisandro Russian</v>
      </c>
      <c r="R356" s="7"/>
    </row>
    <row r="357" spans="5:18">
      <c r="E357" s="7" t="str">
        <f ca="1">IFERROR(__xludf.DUMMYFUNCTION("""COMPUTED_VALUE"""),"Francisco Pastor Beviá")</f>
        <v>Francisco Pastor Beviá</v>
      </c>
      <c r="F357" s="7" t="str">
        <f ca="1">IFERROR(__xludf.DUMMYFUNCTION("""COMPUTED_VALUE"""),"ISL34")</f>
        <v>ISL34</v>
      </c>
      <c r="G357" s="7" t="str">
        <f ca="1">IFERROR(__xludf.DUMMYFUNCTION("""COMPUTED_VALUE"""),"Iván Sánchez")</f>
        <v>Iván Sánchez</v>
      </c>
      <c r="R357" s="7"/>
    </row>
    <row r="358" spans="5:18">
      <c r="E358" s="7" t="str">
        <f ca="1">IFERROR(__xludf.DUMMYFUNCTION("""COMPUTED_VALUE"""),"Francisco Pons Rocher")</f>
        <v>Francisco Pons Rocher</v>
      </c>
      <c r="F358" s="7" t="str">
        <f ca="1">IFERROR(__xludf.DUMMYFUNCTION("""COMPUTED_VALUE"""),"ISL35")</f>
        <v>ISL35</v>
      </c>
      <c r="G358" s="7" t="str">
        <f ca="1">IFERROR(__xludf.DUMMYFUNCTION("""COMPUTED_VALUE"""),"Iván Sánchez")</f>
        <v>Iván Sánchez</v>
      </c>
      <c r="R358" s="7"/>
    </row>
    <row r="359" spans="5:18">
      <c r="E359" s="7" t="str">
        <f ca="1">IFERROR(__xludf.DUMMYFUNCTION("""COMPUTED_VALUE"""),"Francisco Ramos Puerto")</f>
        <v>Francisco Ramos Puerto</v>
      </c>
      <c r="F359" s="7" t="str">
        <f ca="1">IFERROR(__xludf.DUMMYFUNCTION("""COMPUTED_VALUE"""),"LRM46")</f>
        <v>LRM46</v>
      </c>
      <c r="G359" s="7" t="str">
        <f ca="1">IFERROR(__xludf.DUMMYFUNCTION("""COMPUTED_VALUE"""),"Lisandro Russian")</f>
        <v>Lisandro Russian</v>
      </c>
      <c r="R359" s="7"/>
    </row>
    <row r="360" spans="5:18">
      <c r="E360" s="7" t="str">
        <f ca="1">IFERROR(__xludf.DUMMYFUNCTION("""COMPUTED_VALUE"""),"Francisco Ropero Romero")</f>
        <v>Francisco Ropero Romero</v>
      </c>
      <c r="F360" s="7" t="str">
        <f ca="1">IFERROR(__xludf.DUMMYFUNCTION("""COMPUTED_VALUE"""),"LAA17")</f>
        <v>LAA17</v>
      </c>
      <c r="G360" s="7" t="str">
        <f ca="1">IFERROR(__xludf.DUMMYFUNCTION("""COMPUTED_VALUE"""),"Luis Alberto Rodríguez")</f>
        <v>Luis Alberto Rodríguez</v>
      </c>
      <c r="R360" s="7"/>
    </row>
    <row r="361" spans="5:18">
      <c r="E361" s="7" t="str">
        <f ca="1">IFERROR(__xludf.DUMMYFUNCTION("""COMPUTED_VALUE"""),"Franklin Meriño Sánchez")</f>
        <v>Franklin Meriño Sánchez</v>
      </c>
      <c r="F361" s="7" t="str">
        <f ca="1">IFERROR(__xludf.DUMMYFUNCTION("""COMPUTED_VALUE"""),"LRM216")</f>
        <v>LRM216</v>
      </c>
      <c r="G361" s="7" t="str">
        <f ca="1">IFERROR(__xludf.DUMMYFUNCTION("""COMPUTED_VALUE"""),"Lisandro Russian")</f>
        <v>Lisandro Russian</v>
      </c>
      <c r="R361" s="7"/>
    </row>
    <row r="362" spans="5:18">
      <c r="E362" s="7" t="str">
        <f ca="1">IFERROR(__xludf.DUMMYFUNCTION("""COMPUTED_VALUE"""),"Franklin S, Mariño Sánchez")</f>
        <v>Franklin S, Mariño Sánchez</v>
      </c>
      <c r="F362" s="7" t="str">
        <f ca="1">IFERROR(__xludf.DUMMYFUNCTION("""COMPUTED_VALUE"""),"MBM25")</f>
        <v>MBM25</v>
      </c>
      <c r="G362" s="7" t="str">
        <f ca="1">IFERROR(__xludf.DUMMYFUNCTION("""COMPUTED_VALUE"""),"Maika Blázquez")</f>
        <v>Maika Blázquez</v>
      </c>
      <c r="R362" s="7"/>
    </row>
    <row r="363" spans="5:18">
      <c r="E363" s="7" t="str">
        <f ca="1">IFERROR(__xludf.DUMMYFUNCTION("""COMPUTED_VALUE"""),"Gabriel Álvarez Curro")</f>
        <v>Gabriel Álvarez Curro</v>
      </c>
      <c r="F363" s="7" t="str">
        <f ca="1">IFERROR(__xludf.DUMMYFUNCTION("""COMPUTED_VALUE"""),"LRM47")</f>
        <v>LRM47</v>
      </c>
      <c r="G363" s="7" t="str">
        <f ca="1">IFERROR(__xludf.DUMMYFUNCTION("""COMPUTED_VALUE"""),"Lisandro Russian")</f>
        <v>Lisandro Russian</v>
      </c>
      <c r="R363" s="7"/>
    </row>
    <row r="364" spans="5:18">
      <c r="E364" s="7" t="str">
        <f ca="1">IFERROR(__xludf.DUMMYFUNCTION("""COMPUTED_VALUE"""),"Gabriel Martínez Capoccini")</f>
        <v>Gabriel Martínez Capoccini</v>
      </c>
      <c r="F364" s="7" t="str">
        <f ca="1">IFERROR(__xludf.DUMMYFUNCTION("""COMPUTED_VALUE"""),"RPG14")</f>
        <v>RPG14</v>
      </c>
      <c r="G364" s="7" t="str">
        <f ca="1">IFERROR(__xludf.DUMMYFUNCTION("""COMPUTED_VALUE"""),"Roberto Pereira")</f>
        <v>Roberto Pereira</v>
      </c>
      <c r="R364" s="7"/>
    </row>
    <row r="365" spans="5:18">
      <c r="E365" s="7" t="str">
        <f ca="1">IFERROR(__xludf.DUMMYFUNCTION("""COMPUTED_VALUE"""),"Gabriel Pedemonte Sarrias")</f>
        <v>Gabriel Pedemonte Sarrias</v>
      </c>
      <c r="F365" s="7" t="str">
        <f ca="1">IFERROR(__xludf.DUMMYFUNCTION("""COMPUTED_VALUE"""),"MCC15")</f>
        <v>MCC15</v>
      </c>
      <c r="G365" s="7" t="str">
        <f ca="1">IFERROR(__xludf.DUMMYFUNCTION("""COMPUTED_VALUE"""),"Mercè Cabrera")</f>
        <v>Mercè Cabrera</v>
      </c>
      <c r="R365" s="7"/>
    </row>
    <row r="366" spans="5:18">
      <c r="E366" s="7" t="str">
        <f ca="1">IFERROR(__xludf.DUMMYFUNCTION("""COMPUTED_VALUE"""),"Gabriel Trinidad Ruiz")</f>
        <v>Gabriel Trinidad Ruiz</v>
      </c>
      <c r="F366" s="7" t="str">
        <f ca="1">IFERROR(__xludf.DUMMYFUNCTION("""COMPUTED_VALUE"""),"LAA18")</f>
        <v>LAA18</v>
      </c>
      <c r="G366" s="7" t="str">
        <f ca="1">IFERROR(__xludf.DUMMYFUNCTION("""COMPUTED_VALUE"""),"Luis Alberto Rodríguez")</f>
        <v>Luis Alberto Rodríguez</v>
      </c>
      <c r="R366" s="7"/>
    </row>
    <row r="367" spans="5:18">
      <c r="E367" s="7" t="str">
        <f ca="1">IFERROR(__xludf.DUMMYFUNCTION("""COMPUTED_VALUE"""),"Gabriela Morales Medina")</f>
        <v>Gabriela Morales Medina</v>
      </c>
      <c r="F367" s="7" t="str">
        <f ca="1">IFERROR(__xludf.DUMMYFUNCTION("""COMPUTED_VALUE"""),"MBM221")</f>
        <v>MBM221</v>
      </c>
      <c r="G367" s="7" t="str">
        <f ca="1">IFERROR(__xludf.DUMMYFUNCTION("""COMPUTED_VALUE"""),"Maika Blázquez")</f>
        <v>Maika Blázquez</v>
      </c>
      <c r="R367" s="7"/>
    </row>
    <row r="368" spans="5:18">
      <c r="E368" s="7" t="str">
        <f ca="1">IFERROR(__xludf.DUMMYFUNCTION("""COMPUTED_VALUE"""),"Gabriela Simonetti")</f>
        <v>Gabriela Simonetti</v>
      </c>
      <c r="F368" s="7" t="str">
        <f ca="1">IFERROR(__xludf.DUMMYFUNCTION("""COMPUTED_VALUE"""),"MCC46")</f>
        <v>MCC46</v>
      </c>
      <c r="G368" s="7" t="str">
        <f ca="1">IFERROR(__xludf.DUMMYFUNCTION("""COMPUTED_VALUE"""),"Mercè Cabrera")</f>
        <v>Mercè Cabrera</v>
      </c>
      <c r="R368" s="7"/>
    </row>
    <row r="369" spans="5:18">
      <c r="E369" s="7" t="str">
        <f ca="1">IFERROR(__xludf.DUMMYFUNCTION("""COMPUTED_VALUE"""),"Gaby Nicolás Núñez Pichardo")</f>
        <v>Gaby Nicolás Núñez Pichardo</v>
      </c>
      <c r="F369" s="7" t="str">
        <f ca="1">IFERROR(__xludf.DUMMYFUNCTION("""COMPUTED_VALUE"""),"ISL36")</f>
        <v>ISL36</v>
      </c>
      <c r="G369" s="7" t="str">
        <f ca="1">IFERROR(__xludf.DUMMYFUNCTION("""COMPUTED_VALUE"""),"Iván Sánchez")</f>
        <v>Iván Sánchez</v>
      </c>
      <c r="R369" s="7"/>
    </row>
    <row r="370" spans="5:18">
      <c r="E370" s="7" t="str">
        <f ca="1">IFERROR(__xludf.DUMMYFUNCTION("""COMPUTED_VALUE"""),"García González")</f>
        <v>García González</v>
      </c>
      <c r="F370" s="7" t="str">
        <f ca="1">IFERROR(__xludf.DUMMYFUNCTION("""COMPUTED_VALUE"""),"MBM189")</f>
        <v>MBM189</v>
      </c>
      <c r="G370" s="7" t="str">
        <f ca="1">IFERROR(__xludf.DUMMYFUNCTION("""COMPUTED_VALUE"""),"Maika Blázquez")</f>
        <v>Maika Blázquez</v>
      </c>
      <c r="R370" s="7"/>
    </row>
    <row r="371" spans="5:18">
      <c r="E371" s="7" t="str">
        <f ca="1">IFERROR(__xludf.DUMMYFUNCTION("""COMPUTED_VALUE"""),"Garikoitz Calzada Uriondo")</f>
        <v>Garikoitz Calzada Uriondo</v>
      </c>
      <c r="F371" s="7" t="str">
        <f ca="1">IFERROR(__xludf.DUMMYFUNCTION("""COMPUTED_VALUE"""),"LRM48")</f>
        <v>LRM48</v>
      </c>
      <c r="G371" s="7" t="str">
        <f ca="1">IFERROR(__xludf.DUMMYFUNCTION("""COMPUTED_VALUE"""),"Lisandro Russian")</f>
        <v>Lisandro Russian</v>
      </c>
      <c r="R371" s="7"/>
    </row>
    <row r="372" spans="5:18">
      <c r="E372" s="7" t="str">
        <f ca="1">IFERROR(__xludf.DUMMYFUNCTION("""COMPUTED_VALUE"""),"Gema Gundin Rivas")</f>
        <v>Gema Gundin Rivas</v>
      </c>
      <c r="F372" s="7" t="str">
        <f ca="1">IFERROR(__xludf.DUMMYFUNCTION("""COMPUTED_VALUE"""),"LRM265")</f>
        <v>LRM265</v>
      </c>
      <c r="G372" s="7" t="str">
        <f ca="1">IFERROR(__xludf.DUMMYFUNCTION("""COMPUTED_VALUE"""),"Lisandro Russian")</f>
        <v>Lisandro Russian</v>
      </c>
      <c r="R372" s="7"/>
    </row>
    <row r="373" spans="5:18">
      <c r="E373" s="7" t="str">
        <f ca="1">IFERROR(__xludf.DUMMYFUNCTION("""COMPUTED_VALUE"""),"Gerardo Martin Siguenza")</f>
        <v>Gerardo Martin Siguenza</v>
      </c>
      <c r="F373" s="7" t="str">
        <f ca="1">IFERROR(__xludf.DUMMYFUNCTION("""COMPUTED_VALUE"""),"PSC09")</f>
        <v>PSC09</v>
      </c>
      <c r="G373" s="7" t="str">
        <f ca="1">IFERROR(__xludf.DUMMYFUNCTION("""COMPUTED_VALUE"""),"Patricia Solache")</f>
        <v>Patricia Solache</v>
      </c>
      <c r="R373" s="7"/>
    </row>
    <row r="374" spans="5:18">
      <c r="E374" s="7" t="str">
        <f ca="1">IFERROR(__xludf.DUMMYFUNCTION("""COMPUTED_VALUE"""),"Gerardo Monedero Rodrigo")</f>
        <v>Gerardo Monedero Rodrigo</v>
      </c>
      <c r="F374" s="7" t="str">
        <f ca="1">IFERROR(__xludf.DUMMYFUNCTION("""COMPUTED_VALUE"""),"MBM26")</f>
        <v>MBM26</v>
      </c>
      <c r="G374" s="7" t="str">
        <f ca="1">IFERROR(__xludf.DUMMYFUNCTION("""COMPUTED_VALUE"""),"Maika Blázquez")</f>
        <v>Maika Blázquez</v>
      </c>
      <c r="R374" s="7"/>
    </row>
    <row r="375" spans="5:18">
      <c r="E375" s="7" t="str">
        <f ca="1">IFERROR(__xludf.DUMMYFUNCTION("""COMPUTED_VALUE"""),"Germán González Del Tánago Durán")</f>
        <v>Germán González Del Tánago Durán</v>
      </c>
      <c r="F375" s="7" t="str">
        <f ca="1">IFERROR(__xludf.DUMMYFUNCTION("""COMPUTED_VALUE"""),"MBM27")</f>
        <v>MBM27</v>
      </c>
      <c r="G375" s="7" t="str">
        <f ca="1">IFERROR(__xludf.DUMMYFUNCTION("""COMPUTED_VALUE"""),"Maika Blázquez")</f>
        <v>Maika Blázquez</v>
      </c>
      <c r="R375" s="7"/>
    </row>
    <row r="376" spans="5:18">
      <c r="E376" s="7" t="str">
        <f ca="1">IFERROR(__xludf.DUMMYFUNCTION("""COMPUTED_VALUE"""),"Gianmarco Narciso Martínez")</f>
        <v>Gianmarco Narciso Martínez</v>
      </c>
      <c r="F376" s="7" t="str">
        <f ca="1">IFERROR(__xludf.DUMMYFUNCTION("""COMPUTED_VALUE"""),"MBM28")</f>
        <v>MBM28</v>
      </c>
      <c r="G376" s="7" t="str">
        <f ca="1">IFERROR(__xludf.DUMMYFUNCTION("""COMPUTED_VALUE"""),"Maika Blázquez")</f>
        <v>Maika Blázquez</v>
      </c>
      <c r="R376" s="7"/>
    </row>
    <row r="377" spans="5:18">
      <c r="E377" s="7" t="str">
        <f ca="1">IFERROR(__xludf.DUMMYFUNCTION("""COMPUTED_VALUE"""),"Glendis Reyes De La Cruz")</f>
        <v>Glendis Reyes De La Cruz</v>
      </c>
      <c r="F377" s="7" t="str">
        <f ca="1">IFERROR(__xludf.DUMMYFUNCTION("""COMPUTED_VALUE"""),"LRM161")</f>
        <v>LRM161</v>
      </c>
      <c r="G377" s="7" t="str">
        <f ca="1">IFERROR(__xludf.DUMMYFUNCTION("""COMPUTED_VALUE"""),"Lisandro Russian")</f>
        <v>Lisandro Russian</v>
      </c>
      <c r="R377" s="7"/>
    </row>
    <row r="378" spans="5:18">
      <c r="E378" s="7" t="str">
        <f ca="1">IFERROR(__xludf.DUMMYFUNCTION("""COMPUTED_VALUE"""),"Gonzalo Díaz Tapia")</f>
        <v>Gonzalo Díaz Tapia</v>
      </c>
      <c r="F378" s="7" t="str">
        <f ca="1">IFERROR(__xludf.DUMMYFUNCTION("""COMPUTED_VALUE"""),"LRM49")</f>
        <v>LRM49</v>
      </c>
      <c r="G378" s="7" t="str">
        <f ca="1">IFERROR(__xludf.DUMMYFUNCTION("""COMPUTED_VALUE"""),"Lisandro Russian")</f>
        <v>Lisandro Russian</v>
      </c>
      <c r="R378" s="7"/>
    </row>
    <row r="379" spans="5:18">
      <c r="E379" s="7" t="str">
        <f ca="1">IFERROR(__xludf.DUMMYFUNCTION("""COMPUTED_VALUE"""),"Gonzalo Dorado Gutiérrez")</f>
        <v>Gonzalo Dorado Gutiérrez</v>
      </c>
      <c r="F379" s="7" t="str">
        <f ca="1">IFERROR(__xludf.DUMMYFUNCTION("""COMPUTED_VALUE"""),"RPG59")</f>
        <v>RPG59</v>
      </c>
      <c r="G379" s="7" t="str">
        <f ca="1">IFERROR(__xludf.DUMMYFUNCTION("""COMPUTED_VALUE"""),"Roberto Pereira")</f>
        <v>Roberto Pereira</v>
      </c>
      <c r="R379" s="7"/>
    </row>
    <row r="380" spans="5:18">
      <c r="E380" s="7" t="str">
        <f ca="1">IFERROR(__xludf.DUMMYFUNCTION("""COMPUTED_VALUE"""),"Guadalupe Fernández De Pinedo")</f>
        <v>Guadalupe Fernández De Pinedo</v>
      </c>
      <c r="F380" s="7" t="str">
        <f ca="1">IFERROR(__xludf.DUMMYFUNCTION("""COMPUTED_VALUE"""),"AMM13")</f>
        <v>AMM13</v>
      </c>
      <c r="G380" s="7" t="str">
        <f ca="1">IFERROR(__xludf.DUMMYFUNCTION("""COMPUTED_VALUE"""),"Alberto Moreno")</f>
        <v>Alberto Moreno</v>
      </c>
      <c r="R380" s="7"/>
    </row>
    <row r="381" spans="5:18">
      <c r="E381" s="7" t="str">
        <f ca="1">IFERROR(__xludf.DUMMYFUNCTION("""COMPUTED_VALUE"""),"Guadalupe Sequeiros Santiago")</f>
        <v>Guadalupe Sequeiros Santiago</v>
      </c>
      <c r="F381" s="7" t="str">
        <f ca="1">IFERROR(__xludf.DUMMYFUNCTION("""COMPUTED_VALUE"""),"RPG46")</f>
        <v>RPG46</v>
      </c>
      <c r="G381" s="7" t="str">
        <f ca="1">IFERROR(__xludf.DUMMYFUNCTION("""COMPUTED_VALUE"""),"Roberto Pereira")</f>
        <v>Roberto Pereira</v>
      </c>
      <c r="R381" s="7"/>
    </row>
    <row r="382" spans="5:18">
      <c r="E382" s="7" t="str">
        <f ca="1">IFERROR(__xludf.DUMMYFUNCTION("""COMPUTED_VALUE"""),"Guillermo Acosta Díaz")</f>
        <v>Guillermo Acosta Díaz</v>
      </c>
      <c r="F382" s="7" t="str">
        <f ca="1">IFERROR(__xludf.DUMMYFUNCTION("""COMPUTED_VALUE"""),"LRM50")</f>
        <v>LRM50</v>
      </c>
      <c r="G382" s="7" t="str">
        <f ca="1">IFERROR(__xludf.DUMMYFUNCTION("""COMPUTED_VALUE"""),"Lisandro Russian")</f>
        <v>Lisandro Russian</v>
      </c>
      <c r="R382" s="7"/>
    </row>
    <row r="383" spans="5:18">
      <c r="E383" s="7" t="str">
        <f ca="1">IFERROR(__xludf.DUMMYFUNCTION("""COMPUTED_VALUE"""),"Guillermo Plaza Mayor")</f>
        <v>Guillermo Plaza Mayor</v>
      </c>
      <c r="F383" s="7" t="str">
        <f ca="1">IFERROR(__xludf.DUMMYFUNCTION("""COMPUTED_VALUE"""),"MBM29")</f>
        <v>MBM29</v>
      </c>
      <c r="G383" s="7" t="str">
        <f ca="1">IFERROR(__xludf.DUMMYFUNCTION("""COMPUTED_VALUE"""),"Maika Blázquez")</f>
        <v>Maika Blázquez</v>
      </c>
      <c r="R383" s="7"/>
    </row>
    <row r="384" spans="5:18">
      <c r="E384" s="7" t="str">
        <f ca="1">IFERROR(__xludf.DUMMYFUNCTION("""COMPUTED_VALUE"""),"Guillermo San Juan De La Moreta")</f>
        <v>Guillermo San Juan De La Moreta</v>
      </c>
      <c r="F384" s="7" t="str">
        <f ca="1">IFERROR(__xludf.DUMMYFUNCTION("""COMPUTED_VALUE"""),"MBM30")</f>
        <v>MBM30</v>
      </c>
      <c r="G384" s="7" t="str">
        <f ca="1">IFERROR(__xludf.DUMMYFUNCTION("""COMPUTED_VALUE"""),"Maika Blázquez")</f>
        <v>Maika Blázquez</v>
      </c>
      <c r="R384" s="7"/>
    </row>
    <row r="385" spans="5:18">
      <c r="E385" s="7" t="str">
        <f ca="1">IFERROR(__xludf.DUMMYFUNCTION("""COMPUTED_VALUE"""),"Guillermo Severá Ferrándiz")</f>
        <v>Guillermo Severá Ferrándiz</v>
      </c>
      <c r="F385" s="7" t="str">
        <f ca="1">IFERROR(__xludf.DUMMYFUNCTION("""COMPUTED_VALUE"""),"ISL37")</f>
        <v>ISL37</v>
      </c>
      <c r="G385" s="7" t="str">
        <f ca="1">IFERROR(__xludf.DUMMYFUNCTION("""COMPUTED_VALUE"""),"Iván Sánchez")</f>
        <v>Iván Sánchez</v>
      </c>
      <c r="R385" s="7"/>
    </row>
    <row r="386" spans="5:18">
      <c r="E386" s="7" t="str">
        <f ca="1">IFERROR(__xludf.DUMMYFUNCTION("""COMPUTED_VALUE"""),"Guillermo Sierra Galera")</f>
        <v>Guillermo Sierra Galera</v>
      </c>
      <c r="F386" s="7" t="str">
        <f ca="1">IFERROR(__xludf.DUMMYFUNCTION("""COMPUTED_VALUE"""),"LAA70")</f>
        <v>LAA70</v>
      </c>
      <c r="G386" s="7" t="str">
        <f ca="1">IFERROR(__xludf.DUMMYFUNCTION("""COMPUTED_VALUE"""),"Luis Alberto Rodríguez")</f>
        <v>Luis Alberto Rodríguez</v>
      </c>
      <c r="R386" s="7"/>
    </row>
    <row r="387" spans="5:18">
      <c r="E387" s="7" t="str">
        <f ca="1">IFERROR(__xludf.DUMMYFUNCTION("""COMPUTED_VALUE"""),"Gumersindo Jesús Pérez Ortega")</f>
        <v>Gumersindo Jesús Pérez Ortega</v>
      </c>
      <c r="F387" s="7" t="str">
        <f ca="1">IFERROR(__xludf.DUMMYFUNCTION("""COMPUTED_VALUE"""),"LAA76")</f>
        <v>LAA76</v>
      </c>
      <c r="G387" s="7" t="str">
        <f ca="1">IFERROR(__xludf.DUMMYFUNCTION("""COMPUTED_VALUE"""),"Luis Alberto Rodríguez")</f>
        <v>Luis Alberto Rodríguez</v>
      </c>
      <c r="R387" s="7"/>
    </row>
    <row r="388" spans="5:18">
      <c r="E388" s="7" t="str">
        <f ca="1">IFERROR(__xludf.DUMMYFUNCTION("""COMPUTED_VALUE"""),"Gustavo Benavente Bermudo")</f>
        <v>Gustavo Benavente Bermudo</v>
      </c>
      <c r="F388" s="7" t="str">
        <f ca="1">IFERROR(__xludf.DUMMYFUNCTION("""COMPUTED_VALUE"""),"LAA19")</f>
        <v>LAA19</v>
      </c>
      <c r="G388" s="7" t="str">
        <f ca="1">IFERROR(__xludf.DUMMYFUNCTION("""COMPUTED_VALUE"""),"Luis Alberto Rodríguez")</f>
        <v>Luis Alberto Rodríguez</v>
      </c>
      <c r="R388" s="7"/>
    </row>
    <row r="389" spans="5:18">
      <c r="E389" s="7" t="str">
        <f ca="1">IFERROR(__xludf.DUMMYFUNCTION("""COMPUTED_VALUE"""),"Gustavo Córdova Ramos")</f>
        <v>Gustavo Córdova Ramos</v>
      </c>
      <c r="F389" s="7" t="str">
        <f ca="1">IFERROR(__xludf.DUMMYFUNCTION("""COMPUTED_VALUE"""),"MBM31")</f>
        <v>MBM31</v>
      </c>
      <c r="G389" s="7" t="str">
        <f ca="1">IFERROR(__xludf.DUMMYFUNCTION("""COMPUTED_VALUE"""),"Maika Blázquez")</f>
        <v>Maika Blázquez</v>
      </c>
      <c r="R389" s="7"/>
    </row>
    <row r="390" spans="5:18">
      <c r="E390" s="7" t="str">
        <f ca="1">IFERROR(__xludf.DUMMYFUNCTION("""COMPUTED_VALUE"""),"Gustavo Eisenberg Plaza")</f>
        <v>Gustavo Eisenberg Plaza</v>
      </c>
      <c r="F390" s="7" t="str">
        <f ca="1">IFERROR(__xludf.DUMMYFUNCTION("""COMPUTED_VALUE"""),"MBM32")</f>
        <v>MBM32</v>
      </c>
      <c r="G390" s="7" t="str">
        <f ca="1">IFERROR(__xludf.DUMMYFUNCTION("""COMPUTED_VALUE"""),"Maika Blázquez")</f>
        <v>Maika Blázquez</v>
      </c>
      <c r="R390" s="7"/>
    </row>
    <row r="391" spans="5:18">
      <c r="E391" s="7" t="str">
        <f ca="1">IFERROR(__xludf.DUMMYFUNCTION("""COMPUTED_VALUE"""),"Hatim Abubaid Abubaid")</f>
        <v>Hatim Abubaid Abubaid</v>
      </c>
      <c r="F391" s="7" t="str">
        <f ca="1">IFERROR(__xludf.DUMMYFUNCTION("""COMPUTED_VALUE"""),"LRM51")</f>
        <v>LRM51</v>
      </c>
      <c r="G391" s="7" t="str">
        <f ca="1">IFERROR(__xludf.DUMMYFUNCTION("""COMPUTED_VALUE"""),"Lisandro Russian")</f>
        <v>Lisandro Russian</v>
      </c>
      <c r="R391" s="7"/>
    </row>
    <row r="392" spans="5:18">
      <c r="E392" s="7" t="str">
        <f ca="1">IFERROR(__xludf.DUMMYFUNCTION("""COMPUTED_VALUE"""),"Héctor Guiral Torner")</f>
        <v>Héctor Guiral Torner</v>
      </c>
      <c r="F392" s="7" t="str">
        <f ca="1">IFERROR(__xludf.DUMMYFUNCTION("""COMPUTED_VALUE"""),"ISL38")</f>
        <v>ISL38</v>
      </c>
      <c r="G392" s="7" t="str">
        <f ca="1">IFERROR(__xludf.DUMMYFUNCTION("""COMPUTED_VALUE"""),"Iván Sánchez")</f>
        <v>Iván Sánchez</v>
      </c>
      <c r="R392" s="7"/>
    </row>
    <row r="393" spans="5:18">
      <c r="E393" s="7" t="str">
        <f ca="1">IFERROR(__xludf.DUMMYFUNCTION("""COMPUTED_VALUE"""),"Héctor Vallés Varela")</f>
        <v>Héctor Vallés Varela</v>
      </c>
      <c r="F393" s="7" t="str">
        <f ca="1">IFERROR(__xludf.DUMMYFUNCTION("""COMPUTED_VALUE"""),"LRM52")</f>
        <v>LRM52</v>
      </c>
      <c r="G393" s="7" t="str">
        <f ca="1">IFERROR(__xludf.DUMMYFUNCTION("""COMPUTED_VALUE"""),"Lisandro Russian")</f>
        <v>Lisandro Russian</v>
      </c>
      <c r="R393" s="7"/>
    </row>
    <row r="394" spans="5:18">
      <c r="E394" s="7" t="str">
        <f ca="1">IFERROR(__xludf.DUMMYFUNCTION("""COMPUTED_VALUE"""),"Helena Moreno Pardo")</f>
        <v>Helena Moreno Pardo</v>
      </c>
      <c r="F394" s="7" t="str">
        <f ca="1">IFERROR(__xludf.DUMMYFUNCTION("""COMPUTED_VALUE"""),"MBM117")</f>
        <v>MBM117</v>
      </c>
      <c r="G394" s="7" t="str">
        <f ca="1">IFERROR(__xludf.DUMMYFUNCTION("""COMPUTED_VALUE"""),"Maika Blázquez")</f>
        <v>Maika Blázquez</v>
      </c>
      <c r="R394" s="7"/>
    </row>
    <row r="395" spans="5:18">
      <c r="E395" s="7" t="str">
        <f ca="1">IFERROR(__xludf.DUMMYFUNCTION("""COMPUTED_VALUE"""),"Hugo Eduardo Ballivian Yañez")</f>
        <v>Hugo Eduardo Ballivian Yañez</v>
      </c>
      <c r="F395" s="7" t="str">
        <f ca="1">IFERROR(__xludf.DUMMYFUNCTION("""COMPUTED_VALUE"""),"MBM33")</f>
        <v>MBM33</v>
      </c>
      <c r="G395" s="7" t="str">
        <f ca="1">IFERROR(__xludf.DUMMYFUNCTION("""COMPUTED_VALUE"""),"Maika Blázquez")</f>
        <v>Maika Blázquez</v>
      </c>
      <c r="R395" s="7"/>
    </row>
    <row r="396" spans="5:18">
      <c r="E396" s="7" t="str">
        <f ca="1">IFERROR(__xludf.DUMMYFUNCTION("""COMPUTED_VALUE"""),"Hugo Lara Sánchez")</f>
        <v>Hugo Lara Sánchez</v>
      </c>
      <c r="F396" s="7" t="str">
        <f ca="1">IFERROR(__xludf.DUMMYFUNCTION("""COMPUTED_VALUE"""),"PSC10")</f>
        <v>PSC10</v>
      </c>
      <c r="G396" s="7" t="str">
        <f ca="1">IFERROR(__xludf.DUMMYFUNCTION("""COMPUTED_VALUE"""),"Patricia Solache")</f>
        <v>Patricia Solache</v>
      </c>
      <c r="R396" s="7"/>
    </row>
    <row r="397" spans="5:18">
      <c r="E397" s="7" t="str">
        <f ca="1">IFERROR(__xludf.DUMMYFUNCTION("""COMPUTED_VALUE"""),"Ignacio Albaladejo Devis")</f>
        <v>Ignacio Albaladejo Devis</v>
      </c>
      <c r="F397" s="7" t="str">
        <f ca="1">IFERROR(__xludf.DUMMYFUNCTION("""COMPUTED_VALUE"""),"ISL39")</f>
        <v>ISL39</v>
      </c>
      <c r="G397" s="7" t="str">
        <f ca="1">IFERROR(__xludf.DUMMYFUNCTION("""COMPUTED_VALUE"""),"Iván Sánchez")</f>
        <v>Iván Sánchez</v>
      </c>
      <c r="R397" s="7"/>
    </row>
    <row r="398" spans="5:18">
      <c r="E398" s="7" t="str">
        <f ca="1">IFERROR(__xludf.DUMMYFUNCTION("""COMPUTED_VALUE"""),"Ignacio Álvarez Álvarez")</f>
        <v>Ignacio Álvarez Álvarez</v>
      </c>
      <c r="F398" s="7" t="str">
        <f ca="1">IFERROR(__xludf.DUMMYFUNCTION("""COMPUTED_VALUE"""),"PSC11")</f>
        <v>PSC11</v>
      </c>
      <c r="G398" s="7" t="str">
        <f ca="1">IFERROR(__xludf.DUMMYFUNCTION("""COMPUTED_VALUE"""),"Patricia Solache")</f>
        <v>Patricia Solache</v>
      </c>
      <c r="R398" s="7"/>
    </row>
    <row r="399" spans="5:18">
      <c r="E399" s="7" t="str">
        <f ca="1">IFERROR(__xludf.DUMMYFUNCTION("""COMPUTED_VALUE"""),"Ignacio Aristegui Torrano")</f>
        <v>Ignacio Aristegui Torrano</v>
      </c>
      <c r="F399" s="7" t="str">
        <f ca="1">IFERROR(__xludf.DUMMYFUNCTION("""COMPUTED_VALUE"""),"MBM34")</f>
        <v>MBM34</v>
      </c>
      <c r="G399" s="7" t="str">
        <f ca="1">IFERROR(__xludf.DUMMYFUNCTION("""COMPUTED_VALUE"""),"Maika Blázquez")</f>
        <v>Maika Blázquez</v>
      </c>
      <c r="R399" s="7"/>
    </row>
    <row r="400" spans="5:18">
      <c r="E400" s="7" t="str">
        <f ca="1">IFERROR(__xludf.DUMMYFUNCTION("""COMPUTED_VALUE"""),"Ignacio Clemente Agodino")</f>
        <v>Ignacio Clemente Agodino</v>
      </c>
      <c r="F400" s="7" t="str">
        <f ca="1">IFERROR(__xludf.DUMMYFUNCTION("""COMPUTED_VALUE"""),"MCC16")</f>
        <v>MCC16</v>
      </c>
      <c r="G400" s="7" t="str">
        <f ca="1">IFERROR(__xludf.DUMMYFUNCTION("""COMPUTED_VALUE"""),"Mercè Cabrera")</f>
        <v>Mercè Cabrera</v>
      </c>
      <c r="R400" s="7"/>
    </row>
    <row r="401" spans="5:18">
      <c r="E401" s="7" t="str">
        <f ca="1">IFERROR(__xludf.DUMMYFUNCTION("""COMPUTED_VALUE"""),"Ignacio Erdozáin Rodríguez")</f>
        <v>Ignacio Erdozáin Rodríguez</v>
      </c>
      <c r="F401" s="7" t="str">
        <f ca="1">IFERROR(__xludf.DUMMYFUNCTION("""COMPUTED_VALUE"""),"LRM251")</f>
        <v>LRM251</v>
      </c>
      <c r="G401" s="7" t="str">
        <f ca="1">IFERROR(__xludf.DUMMYFUNCTION("""COMPUTED_VALUE"""),"Lisandro Russian")</f>
        <v>Lisandro Russian</v>
      </c>
      <c r="R401" s="7"/>
    </row>
    <row r="402" spans="5:18">
      <c r="E402" s="7" t="str">
        <f ca="1">IFERROR(__xludf.DUMMYFUNCTION("""COMPUTED_VALUE"""),"Ignacio Gómez Campdera")</f>
        <v>Ignacio Gómez Campdera</v>
      </c>
      <c r="F402" s="7" t="str">
        <f ca="1">IFERROR(__xludf.DUMMYFUNCTION("""COMPUTED_VALUE"""),"LRM53")</f>
        <v>LRM53</v>
      </c>
      <c r="G402" s="7" t="str">
        <f ca="1">IFERROR(__xludf.DUMMYFUNCTION("""COMPUTED_VALUE"""),"Lisandro Russian")</f>
        <v>Lisandro Russian</v>
      </c>
      <c r="R402" s="7"/>
    </row>
    <row r="403" spans="5:18">
      <c r="E403" s="7" t="str">
        <f ca="1">IFERROR(__xludf.DUMMYFUNCTION("""COMPUTED_VALUE"""),"Ignacio Jiménez Huerta")</f>
        <v>Ignacio Jiménez Huerta</v>
      </c>
      <c r="F403" s="7" t="str">
        <f ca="1">IFERROR(__xludf.DUMMYFUNCTION("""COMPUTED_VALUE"""),"MBM202")</f>
        <v>MBM202</v>
      </c>
      <c r="G403" s="7" t="str">
        <f ca="1">IFERROR(__xludf.DUMMYFUNCTION("""COMPUTED_VALUE"""),"Maika Blázquez")</f>
        <v>Maika Blázquez</v>
      </c>
      <c r="R403" s="7"/>
    </row>
    <row r="404" spans="5:18">
      <c r="E404" s="7" t="str">
        <f ca="1">IFERROR(__xludf.DUMMYFUNCTION("""COMPUTED_VALUE"""),"Ignacio Llopez Carratalá")</f>
        <v>Ignacio Llopez Carratalá</v>
      </c>
      <c r="F404" s="7" t="str">
        <f ca="1">IFERROR(__xludf.DUMMYFUNCTION("""COMPUTED_VALUE"""),"RFV13")</f>
        <v>RFV13</v>
      </c>
      <c r="G404" s="7" t="str">
        <f ca="1">IFERROR(__xludf.DUMMYFUNCTION("""COMPUTED_VALUE"""),"Ramon Ferrando")</f>
        <v>Ramon Ferrando</v>
      </c>
      <c r="R404" s="7"/>
    </row>
    <row r="405" spans="5:18">
      <c r="E405" s="7" t="str">
        <f ca="1">IFERROR(__xludf.DUMMYFUNCTION("""COMPUTED_VALUE"""),"Ignacio Pla Gil")</f>
        <v>Ignacio Pla Gil</v>
      </c>
      <c r="F405" s="7" t="str">
        <f ca="1">IFERROR(__xludf.DUMMYFUNCTION("""COMPUTED_VALUE"""),"RFV14")</f>
        <v>RFV14</v>
      </c>
      <c r="G405" s="7" t="str">
        <f ca="1">IFERROR(__xludf.DUMMYFUNCTION("""COMPUTED_VALUE"""),"Ramon Ferrando")</f>
        <v>Ramon Ferrando</v>
      </c>
      <c r="R405" s="7"/>
    </row>
    <row r="406" spans="5:18">
      <c r="E406" s="7" t="str">
        <f ca="1">IFERROR(__xludf.DUMMYFUNCTION("""COMPUTED_VALUE"""),"Ignacio Sierra Arbide")</f>
        <v>Ignacio Sierra Arbide</v>
      </c>
      <c r="F406" s="7" t="str">
        <f ca="1">IFERROR(__xludf.DUMMYFUNCTION("""COMPUTED_VALUE"""),"LRM54")</f>
        <v>LRM54</v>
      </c>
      <c r="G406" s="7" t="str">
        <f ca="1">IFERROR(__xludf.DUMMYFUNCTION("""COMPUTED_VALUE"""),"Lisandro Russian")</f>
        <v>Lisandro Russian</v>
      </c>
      <c r="R406" s="7"/>
    </row>
    <row r="407" spans="5:18">
      <c r="E407" s="7" t="str">
        <f ca="1">IFERROR(__xludf.DUMMYFUNCTION("""COMPUTED_VALUE"""),"Inés Llano Espinosa")</f>
        <v>Inés Llano Espinosa</v>
      </c>
      <c r="F407" s="7" t="str">
        <f ca="1">IFERROR(__xludf.DUMMYFUNCTION("""COMPUTED_VALUE"""),"MCC47")</f>
        <v>MCC47</v>
      </c>
      <c r="G407" s="7" t="str">
        <f ca="1">IFERROR(__xludf.DUMMYFUNCTION("""COMPUTED_VALUE"""),"Mercè Cabrera")</f>
        <v>Mercè Cabrera</v>
      </c>
      <c r="R407" s="7"/>
    </row>
    <row r="408" spans="5:18">
      <c r="E408" s="7" t="str">
        <f ca="1">IFERROR(__xludf.DUMMYFUNCTION("""COMPUTED_VALUE"""),"Inés Pastor Basterra")</f>
        <v>Inés Pastor Basterra</v>
      </c>
      <c r="F408" s="7" t="str">
        <f ca="1">IFERROR(__xludf.DUMMYFUNCTION("""COMPUTED_VALUE"""),"LRM162")</f>
        <v>LRM162</v>
      </c>
      <c r="G408" s="7" t="str">
        <f ca="1">IFERROR(__xludf.DUMMYFUNCTION("""COMPUTED_VALUE"""),"Lisandro Russian")</f>
        <v>Lisandro Russian</v>
      </c>
      <c r="R408" s="7"/>
    </row>
    <row r="409" spans="5:18">
      <c r="E409" s="7" t="str">
        <f ca="1">IFERROR(__xludf.DUMMYFUNCTION("""COMPUTED_VALUE"""),"Inés Redondo Santos")</f>
        <v>Inés Redondo Santos</v>
      </c>
      <c r="F409" s="7" t="str">
        <f ca="1">IFERROR(__xludf.DUMMYFUNCTION("""COMPUTED_VALUE"""),"LRM163")</f>
        <v>LRM163</v>
      </c>
      <c r="G409" s="7" t="str">
        <f ca="1">IFERROR(__xludf.DUMMYFUNCTION("""COMPUTED_VALUE"""),"Lisandro Russian")</f>
        <v>Lisandro Russian</v>
      </c>
      <c r="R409" s="7"/>
    </row>
    <row r="410" spans="5:18">
      <c r="E410" s="7" t="str">
        <f ca="1">IFERROR(__xludf.DUMMYFUNCTION("""COMPUTED_VALUE"""),"Inmaculada Giraldo Mata")</f>
        <v>Inmaculada Giraldo Mata</v>
      </c>
      <c r="F410" s="7" t="str">
        <f ca="1">IFERROR(__xludf.DUMMYFUNCTION("""COMPUTED_VALUE"""),"MBM118")</f>
        <v>MBM118</v>
      </c>
      <c r="G410" s="7" t="str">
        <f ca="1">IFERROR(__xludf.DUMMYFUNCTION("""COMPUTED_VALUE"""),"Maika Blázquez")</f>
        <v>Maika Blázquez</v>
      </c>
      <c r="R410" s="7"/>
    </row>
    <row r="411" spans="5:18">
      <c r="E411" s="7" t="str">
        <f ca="1">IFERROR(__xludf.DUMMYFUNCTION("""COMPUTED_VALUE"""),"Inmaculada Puíg González")</f>
        <v>Inmaculada Puíg González</v>
      </c>
      <c r="F411" s="7" t="str">
        <f ca="1">IFERROR(__xludf.DUMMYFUNCTION("""COMPUTED_VALUE"""),"ISL101")</f>
        <v>ISL101</v>
      </c>
      <c r="G411" s="7" t="str">
        <f ca="1">IFERROR(__xludf.DUMMYFUNCTION("""COMPUTED_VALUE"""),"Iván Sánchez")</f>
        <v>Iván Sánchez</v>
      </c>
      <c r="R411" s="7"/>
    </row>
    <row r="412" spans="5:18">
      <c r="E412" s="7" t="str">
        <f ca="1">IFERROR(__xludf.DUMMYFUNCTION("""COMPUTED_VALUE"""),"Inmaculada Sancho Martín")</f>
        <v>Inmaculada Sancho Martín</v>
      </c>
      <c r="F412" s="7" t="str">
        <f ca="1">IFERROR(__xludf.DUMMYFUNCTION("""COMPUTED_VALUE"""),"MBM119")</f>
        <v>MBM119</v>
      </c>
      <c r="G412" s="7" t="str">
        <f ca="1">IFERROR(__xludf.DUMMYFUNCTION("""COMPUTED_VALUE"""),"Maika Blázquez")</f>
        <v>Maika Blázquez</v>
      </c>
      <c r="R412" s="7"/>
    </row>
    <row r="413" spans="5:18">
      <c r="E413" s="7" t="str">
        <f ca="1">IFERROR(__xludf.DUMMYFUNCTION("""COMPUTED_VALUE"""),"Iñigo Ucelay Vicinay")</f>
        <v>Iñigo Ucelay Vicinay</v>
      </c>
      <c r="F413" s="7" t="str">
        <f ca="1">IFERROR(__xludf.DUMMYFUNCTION("""COMPUTED_VALUE"""),"AMM05")</f>
        <v>AMM05</v>
      </c>
      <c r="G413" s="7" t="str">
        <f ca="1">IFERROR(__xludf.DUMMYFUNCTION("""COMPUTED_VALUE"""),"Alberto Moreno")</f>
        <v>Alberto Moreno</v>
      </c>
      <c r="R413" s="7"/>
    </row>
    <row r="414" spans="5:18">
      <c r="E414" s="7" t="str">
        <f ca="1">IFERROR(__xludf.DUMMYFUNCTION("""COMPUTED_VALUE"""),"Irene Gómez Frias")</f>
        <v>Irene Gómez Frias</v>
      </c>
      <c r="F414" s="7" t="str">
        <f ca="1">IFERROR(__xludf.DUMMYFUNCTION("""COMPUTED_VALUE"""),"MBM213")</f>
        <v>MBM213</v>
      </c>
      <c r="G414" s="7" t="str">
        <f ca="1">IFERROR(__xludf.DUMMYFUNCTION("""COMPUTED_VALUE"""),"Maika Blázquez")</f>
        <v>Maika Blázquez</v>
      </c>
      <c r="R414" s="7"/>
    </row>
    <row r="415" spans="5:18">
      <c r="E415" s="7" t="str">
        <f ca="1">IFERROR(__xludf.DUMMYFUNCTION("""COMPUTED_VALUE"""),"Irene Mármol Szmobathy")</f>
        <v>Irene Mármol Szmobathy</v>
      </c>
      <c r="F415" s="7" t="str">
        <f ca="1">IFERROR(__xludf.DUMMYFUNCTION("""COMPUTED_VALUE"""),"MBM120")</f>
        <v>MBM120</v>
      </c>
      <c r="G415" s="7" t="str">
        <f ca="1">IFERROR(__xludf.DUMMYFUNCTION("""COMPUTED_VALUE"""),"Maika Blázquez")</f>
        <v>Maika Blázquez</v>
      </c>
      <c r="R415" s="7"/>
    </row>
    <row r="416" spans="5:18">
      <c r="E416" s="7" t="str">
        <f ca="1">IFERROR(__xludf.DUMMYFUNCTION("""COMPUTED_VALUE"""),"Irene Monjas Canovas")</f>
        <v>Irene Monjas Canovas</v>
      </c>
      <c r="F416" s="7" t="str">
        <f ca="1">IFERROR(__xludf.DUMMYFUNCTION("""COMPUTED_VALUE"""),"ISL102")</f>
        <v>ISL102</v>
      </c>
      <c r="G416" s="7" t="str">
        <f ca="1">IFERROR(__xludf.DUMMYFUNCTION("""COMPUTED_VALUE"""),"Iván Sánchez")</f>
        <v>Iván Sánchez</v>
      </c>
      <c r="R416" s="7"/>
    </row>
    <row r="417" spans="5:18">
      <c r="E417" s="7" t="str">
        <f ca="1">IFERROR(__xludf.DUMMYFUNCTION("""COMPUTED_VALUE"""),"Irene Rivero Fernández")</f>
        <v>Irene Rivero Fernández</v>
      </c>
      <c r="F417" s="7" t="str">
        <f ca="1">IFERROR(__xludf.DUMMYFUNCTION("""COMPUTED_VALUE"""),"MBM121")</f>
        <v>MBM121</v>
      </c>
      <c r="G417" s="7" t="str">
        <f ca="1">IFERROR(__xludf.DUMMYFUNCTION("""COMPUTED_VALUE"""),"Maika Blázquez")</f>
        <v>Maika Blázquez</v>
      </c>
      <c r="R417" s="7"/>
    </row>
    <row r="418" spans="5:18">
      <c r="E418" s="7" t="str">
        <f ca="1">IFERROR(__xludf.DUMMYFUNCTION("""COMPUTED_VALUE"""),"Iris Quero Campos")</f>
        <v>Iris Quero Campos</v>
      </c>
      <c r="F418" s="7" t="str">
        <f ca="1">IFERROR(__xludf.DUMMYFUNCTION("""COMPUTED_VALUE"""),"MBM122")</f>
        <v>MBM122</v>
      </c>
      <c r="G418" s="7" t="str">
        <f ca="1">IFERROR(__xludf.DUMMYFUNCTION("""COMPUTED_VALUE"""),"Maika Blázquez")</f>
        <v>Maika Blázquez</v>
      </c>
      <c r="R418" s="7"/>
    </row>
    <row r="419" spans="5:18">
      <c r="E419" s="7" t="str">
        <f ca="1">IFERROR(__xludf.DUMMYFUNCTION("""COMPUTED_VALUE"""),"Isabel Bueno Aventin")</f>
        <v>Isabel Bueno Aventin</v>
      </c>
      <c r="F419" s="7" t="str">
        <f ca="1">IFERROR(__xludf.DUMMYFUNCTION("""COMPUTED_VALUE"""),"MBM214")</f>
        <v>MBM214</v>
      </c>
      <c r="G419" s="7" t="str">
        <f ca="1">IFERROR(__xludf.DUMMYFUNCTION("""COMPUTED_VALUE"""),"Maika Blázquez")</f>
        <v>Maika Blázquez</v>
      </c>
      <c r="R419" s="7"/>
    </row>
    <row r="420" spans="5:18">
      <c r="E420" s="7" t="str">
        <f ca="1">IFERROR(__xludf.DUMMYFUNCTION("""COMPUTED_VALUE"""),"Isabel Eugenia Lasso García")</f>
        <v>Isabel Eugenia Lasso García</v>
      </c>
      <c r="F420" s="7" t="str">
        <f ca="1">IFERROR(__xludf.DUMMYFUNCTION("""COMPUTED_VALUE"""),"LRM164")</f>
        <v>LRM164</v>
      </c>
      <c r="G420" s="7" t="str">
        <f ca="1">IFERROR(__xludf.DUMMYFUNCTION("""COMPUTED_VALUE"""),"Lisandro Russian")</f>
        <v>Lisandro Russian</v>
      </c>
      <c r="R420" s="7"/>
    </row>
    <row r="421" spans="5:18">
      <c r="E421" s="7" t="str">
        <f ca="1">IFERROR(__xludf.DUMMYFUNCTION("""COMPUTED_VALUE"""),"Isabel González Diez")</f>
        <v>Isabel González Diez</v>
      </c>
      <c r="F421" s="7" t="str">
        <f ca="1">IFERROR(__xludf.DUMMYFUNCTION("""COMPUTED_VALUE"""),"PSC56")</f>
        <v>PSC56</v>
      </c>
      <c r="G421" s="7" t="str">
        <f ca="1">IFERROR(__xludf.DUMMYFUNCTION("""COMPUTED_VALUE"""),"Patricia Solache")</f>
        <v>Patricia Solache</v>
      </c>
      <c r="R421" s="7"/>
    </row>
    <row r="422" spans="5:18">
      <c r="E422" s="7" t="str">
        <f ca="1">IFERROR(__xludf.DUMMYFUNCTION("""COMPUTED_VALUE"""),"Isabel González Guijarro")</f>
        <v>Isabel González Guijarro</v>
      </c>
      <c r="F422" s="7" t="str">
        <f ca="1">IFERROR(__xludf.DUMMYFUNCTION("""COMPUTED_VALUE"""),"RPG47")</f>
        <v>RPG47</v>
      </c>
      <c r="G422" s="7" t="str">
        <f ca="1">IFERROR(__xludf.DUMMYFUNCTION("""COMPUTED_VALUE"""),"Roberto Pereira")</f>
        <v>Roberto Pereira</v>
      </c>
      <c r="R422" s="7"/>
    </row>
    <row r="423" spans="5:18">
      <c r="E423" s="7" t="str">
        <f ca="1">IFERROR(__xludf.DUMMYFUNCTION("""COMPUTED_VALUE"""),"Isabel Menaches Guardiola")</f>
        <v>Isabel Menaches Guardiola</v>
      </c>
      <c r="F423" s="7" t="str">
        <f ca="1">IFERROR(__xludf.DUMMYFUNCTION("""COMPUTED_VALUE"""),"ISL103")</f>
        <v>ISL103</v>
      </c>
      <c r="G423" s="7" t="str">
        <f ca="1">IFERROR(__xludf.DUMMYFUNCTION("""COMPUTED_VALUE"""),"Iván Sánchez")</f>
        <v>Iván Sánchez</v>
      </c>
      <c r="R423" s="7"/>
    </row>
    <row r="424" spans="5:18">
      <c r="E424" s="7" t="str">
        <f ca="1">IFERROR(__xludf.DUMMYFUNCTION("""COMPUTED_VALUE"""),"Isabel Miranda García")</f>
        <v>Isabel Miranda García</v>
      </c>
      <c r="F424" s="7" t="str">
        <f ca="1">IFERROR(__xludf.DUMMYFUNCTION("""COMPUTED_VALUE"""),"RPG58")</f>
        <v>RPG58</v>
      </c>
      <c r="G424" s="7" t="str">
        <f ca="1">IFERROR(__xludf.DUMMYFUNCTION("""COMPUTED_VALUE"""),"Roberto Pereira")</f>
        <v>Roberto Pereira</v>
      </c>
      <c r="R424" s="7"/>
    </row>
    <row r="425" spans="5:18">
      <c r="E425" s="7" t="str">
        <f ca="1">IFERROR(__xludf.DUMMYFUNCTION("""COMPUTED_VALUE"""),"Isabel Pensado Banet")</f>
        <v>Isabel Pensado Banet</v>
      </c>
      <c r="F425" s="7" t="str">
        <f ca="1">IFERROR(__xludf.DUMMYFUNCTION("""COMPUTED_VALUE"""),"RPG48")</f>
        <v>RPG48</v>
      </c>
      <c r="G425" s="7" t="str">
        <f ca="1">IFERROR(__xludf.DUMMYFUNCTION("""COMPUTED_VALUE"""),"Roberto Pereira")</f>
        <v>Roberto Pereira</v>
      </c>
      <c r="R425" s="7"/>
    </row>
    <row r="426" spans="5:18">
      <c r="E426" s="7" t="str">
        <f ca="1">IFERROR(__xludf.DUMMYFUNCTION("""COMPUTED_VALUE"""),"Isabel Polo Tomás")</f>
        <v>Isabel Polo Tomás</v>
      </c>
      <c r="F426" s="7" t="str">
        <f ca="1">IFERROR(__xludf.DUMMYFUNCTION("""COMPUTED_VALUE"""),"ISL104")</f>
        <v>ISL104</v>
      </c>
      <c r="G426" s="7" t="str">
        <f ca="1">IFERROR(__xludf.DUMMYFUNCTION("""COMPUTED_VALUE"""),"Ramon Ferrando")</f>
        <v>Ramon Ferrando</v>
      </c>
      <c r="R426" s="7"/>
    </row>
    <row r="427" spans="5:18">
      <c r="E427" s="7" t="str">
        <f ca="1">IFERROR(__xludf.DUMMYFUNCTION("""COMPUTED_VALUE"""),"Isabel Sánchez Cuadrado")</f>
        <v>Isabel Sánchez Cuadrado</v>
      </c>
      <c r="F427" s="7" t="str">
        <f ca="1">IFERROR(__xludf.DUMMYFUNCTION("""COMPUTED_VALUE"""),"LRM165")</f>
        <v>LRM165</v>
      </c>
      <c r="G427" s="7" t="str">
        <f ca="1">IFERROR(__xludf.DUMMYFUNCTION("""COMPUTED_VALUE"""),"Lisandro Russian")</f>
        <v>Lisandro Russian</v>
      </c>
      <c r="R427" s="7"/>
    </row>
    <row r="428" spans="5:18">
      <c r="E428" s="7" t="str">
        <f ca="1">IFERROR(__xludf.DUMMYFUNCTION("""COMPUTED_VALUE"""),"Isabel Vaamonde Sanchez Andrade")</f>
        <v>Isabel Vaamonde Sanchez Andrade</v>
      </c>
      <c r="F428" s="7" t="str">
        <f ca="1">IFERROR(__xludf.DUMMYFUNCTION("""COMPUTED_VALUE"""),"RPG49")</f>
        <v>RPG49</v>
      </c>
      <c r="G428" s="7" t="str">
        <f ca="1">IFERROR(__xludf.DUMMYFUNCTION("""COMPUTED_VALUE"""),"Roberto Pereira")</f>
        <v>Roberto Pereira</v>
      </c>
      <c r="R428" s="7"/>
    </row>
    <row r="429" spans="5:18">
      <c r="E429" s="7" t="str">
        <f ca="1">IFERROR(__xludf.DUMMYFUNCTION("""COMPUTED_VALUE"""),"Isabel Victoria Fernandez")</f>
        <v>Isabel Victoria Fernandez</v>
      </c>
      <c r="F429" s="7" t="str">
        <f ca="1">IFERROR(__xludf.DUMMYFUNCTION("""COMPUTED_VALUE"""),"MBM123")</f>
        <v>MBM123</v>
      </c>
      <c r="G429" s="7" t="str">
        <f ca="1">IFERROR(__xludf.DUMMYFUNCTION("""COMPUTED_VALUE"""),"Maika Blázquez")</f>
        <v>Maika Blázquez</v>
      </c>
      <c r="R429" s="7"/>
    </row>
    <row r="430" spans="5:18">
      <c r="E430" s="7" t="str">
        <f ca="1">IFERROR(__xludf.DUMMYFUNCTION("""COMPUTED_VALUE"""),"Isidoro Rubio Correa")</f>
        <v>Isidoro Rubio Correa</v>
      </c>
      <c r="F430" s="7" t="str">
        <f ca="1">IFERROR(__xludf.DUMMYFUNCTION("""COMPUTED_VALUE"""),"LAA20")</f>
        <v>LAA20</v>
      </c>
      <c r="G430" s="7" t="str">
        <f ca="1">IFERROR(__xludf.DUMMYFUNCTION("""COMPUTED_VALUE"""),"Luis Alberto Rodríguez")</f>
        <v>Luis Alberto Rodríguez</v>
      </c>
      <c r="R430" s="7"/>
    </row>
    <row r="431" spans="5:18">
      <c r="E431" s="7" t="str">
        <f ca="1">IFERROR(__xludf.DUMMYFUNCTION("""COMPUTED_VALUE"""),"Ismael Soriano Martínez")</f>
        <v>Ismael Soriano Martínez</v>
      </c>
      <c r="F431" s="7" t="str">
        <f ca="1">IFERROR(__xludf.DUMMYFUNCTION("""COMPUTED_VALUE"""),"MBM215")</f>
        <v>MBM215</v>
      </c>
      <c r="G431" s="7" t="str">
        <f ca="1">IFERROR(__xludf.DUMMYFUNCTION("""COMPUTED_VALUE"""),"Maika Blázquez")</f>
        <v>Maika Blázquez</v>
      </c>
      <c r="R431" s="7"/>
    </row>
    <row r="432" spans="5:18">
      <c r="E432" s="7" t="str">
        <f ca="1">IFERROR(__xludf.DUMMYFUNCTION("""COMPUTED_VALUE"""),"Ithzel Maria Villarreal Patiño")</f>
        <v>Ithzel Maria Villarreal Patiño</v>
      </c>
      <c r="F432" s="7" t="str">
        <f ca="1">IFERROR(__xludf.DUMMYFUNCTION("""COMPUTED_VALUE"""),"MBM124")</f>
        <v>MBM124</v>
      </c>
      <c r="G432" s="7" t="str">
        <f ca="1">IFERROR(__xludf.DUMMYFUNCTION("""COMPUTED_VALUE"""),"Maika Blázquez")</f>
        <v>Maika Blázquez</v>
      </c>
      <c r="R432" s="7"/>
    </row>
    <row r="433" spans="5:18">
      <c r="E433" s="7" t="str">
        <f ca="1">IFERROR(__xludf.DUMMYFUNCTION("""COMPUTED_VALUE"""),"Itziar Álvarez Palacios")</f>
        <v>Itziar Álvarez Palacios</v>
      </c>
      <c r="F433" s="7" t="str">
        <f ca="1">IFERROR(__xludf.DUMMYFUNCTION("""COMPUTED_VALUE"""),"MBM125")</f>
        <v>MBM125</v>
      </c>
      <c r="G433" s="7" t="str">
        <f ca="1">IFERROR(__xludf.DUMMYFUNCTION("""COMPUTED_VALUE"""),"Maika Blázquez")</f>
        <v>Maika Blázquez</v>
      </c>
      <c r="R433" s="7"/>
    </row>
    <row r="434" spans="5:18">
      <c r="E434" s="7" t="str">
        <f ca="1">IFERROR(__xludf.DUMMYFUNCTION("""COMPUTED_VALUE"""),"Ivan Mendez- Benegassi Silva")</f>
        <v>Ivan Mendez- Benegassi Silva</v>
      </c>
      <c r="F434" s="7" t="str">
        <f ca="1">IFERROR(__xludf.DUMMYFUNCTION("""COMPUTED_VALUE"""),"MBM35")</f>
        <v>MBM35</v>
      </c>
      <c r="G434" s="7" t="str">
        <f ca="1">IFERROR(__xludf.DUMMYFUNCTION("""COMPUTED_VALUE"""),"Maika Blázquez")</f>
        <v>Maika Blázquez</v>
      </c>
      <c r="R434" s="7"/>
    </row>
    <row r="435" spans="5:18">
      <c r="E435" s="7" t="str">
        <f ca="1">IFERROR(__xludf.DUMMYFUNCTION("""COMPUTED_VALUE"""),"Iván Muerte Moreno")</f>
        <v>Iván Muerte Moreno</v>
      </c>
      <c r="F435" s="7" t="str">
        <f ca="1">IFERROR(__xludf.DUMMYFUNCTION("""COMPUTED_VALUE"""),"LRM55")</f>
        <v>LRM55</v>
      </c>
      <c r="G435" s="7" t="str">
        <f ca="1">IFERROR(__xludf.DUMMYFUNCTION("""COMPUTED_VALUE"""),"Lisandro Russian")</f>
        <v>Lisandro Russian</v>
      </c>
      <c r="R435" s="7"/>
    </row>
    <row r="436" spans="5:18">
      <c r="E436" s="7" t="str">
        <f ca="1">IFERROR(__xludf.DUMMYFUNCTION("""COMPUTED_VALUE"""),"Jaime Alonso Ochoa Ríos")</f>
        <v>Jaime Alonso Ochoa Ríos</v>
      </c>
      <c r="F436" s="7" t="str">
        <f ca="1">IFERROR(__xludf.DUMMYFUNCTION("""COMPUTED_VALUE"""),"LAA21")</f>
        <v>LAA21</v>
      </c>
      <c r="G436" s="7" t="str">
        <f ca="1">IFERROR(__xludf.DUMMYFUNCTION("""COMPUTED_VALUE"""),"Luis Alberto Rodríguez")</f>
        <v>Luis Alberto Rodríguez</v>
      </c>
      <c r="R436" s="7"/>
    </row>
    <row r="437" spans="5:18">
      <c r="E437" s="7" t="str">
        <f ca="1">IFERROR(__xludf.DUMMYFUNCTION("""COMPUTED_VALUE"""),"Jaime Ferrán Bernal")</f>
        <v>Jaime Ferrán Bernal</v>
      </c>
      <c r="F437" s="7" t="str">
        <f ca="1">IFERROR(__xludf.DUMMYFUNCTION("""COMPUTED_VALUE"""),"ISL40")</f>
        <v>ISL40</v>
      </c>
      <c r="G437" s="7" t="str">
        <f ca="1">IFERROR(__xludf.DUMMYFUNCTION("""COMPUTED_VALUE"""),"Iván Sánchez")</f>
        <v>Iván Sánchez</v>
      </c>
      <c r="R437" s="7"/>
    </row>
    <row r="438" spans="5:18">
      <c r="E438" s="7" t="str">
        <f ca="1">IFERROR(__xludf.DUMMYFUNCTION("""COMPUTED_VALUE"""),"Jaime Leache Pueyo")</f>
        <v>Jaime Leache Pueyo</v>
      </c>
      <c r="F438" s="7" t="str">
        <f ca="1">IFERROR(__xludf.DUMMYFUNCTION("""COMPUTED_VALUE"""),"LRM56")</f>
        <v>LRM56</v>
      </c>
      <c r="G438" s="7" t="str">
        <f ca="1">IFERROR(__xludf.DUMMYFUNCTION("""COMPUTED_VALUE"""),"Ignacio Berdejo")</f>
        <v>Ignacio Berdejo</v>
      </c>
      <c r="R438" s="7"/>
    </row>
    <row r="439" spans="5:18">
      <c r="E439" s="7" t="str">
        <f ca="1">IFERROR(__xludf.DUMMYFUNCTION("""COMPUTED_VALUE"""),"Jaime Marco Algarra")</f>
        <v>Jaime Marco Algarra</v>
      </c>
      <c r="F439" s="7" t="str">
        <f ca="1">IFERROR(__xludf.DUMMYFUNCTION("""COMPUTED_VALUE"""),"RFV41")</f>
        <v>RFV41</v>
      </c>
      <c r="G439" s="7" t="str">
        <f ca="1">IFERROR(__xludf.DUMMYFUNCTION("""COMPUTED_VALUE"""),"Ramon Ferrando")</f>
        <v>Ramon Ferrando</v>
      </c>
      <c r="R439" s="7"/>
    </row>
    <row r="440" spans="5:18">
      <c r="E440" s="7" t="str">
        <f ca="1">IFERROR(__xludf.DUMMYFUNCTION("""COMPUTED_VALUE"""),"Jaime Martín Carranza")</f>
        <v>Jaime Martín Carranza</v>
      </c>
      <c r="F440" s="7" t="str">
        <f ca="1">IFERROR(__xludf.DUMMYFUNCTION("""COMPUTED_VALUE"""),"MBM36")</f>
        <v>MBM36</v>
      </c>
      <c r="G440" s="7" t="str">
        <f ca="1">IFERROR(__xludf.DUMMYFUNCTION("""COMPUTED_VALUE"""),"Maika Blázquez")</f>
        <v>Maika Blázquez</v>
      </c>
      <c r="R440" s="7"/>
    </row>
    <row r="441" spans="5:18">
      <c r="E441" s="7" t="str">
        <f ca="1">IFERROR(__xludf.DUMMYFUNCTION("""COMPUTED_VALUE"""),"Jaime Sanabria Brassart")</f>
        <v>Jaime Sanabria Brassart</v>
      </c>
      <c r="F441" s="7" t="str">
        <f ca="1">IFERROR(__xludf.DUMMYFUNCTION("""COMPUTED_VALUE"""),"LRM57")</f>
        <v>LRM57</v>
      </c>
      <c r="G441" s="7" t="str">
        <f ca="1">IFERROR(__xludf.DUMMYFUNCTION("""COMPUTED_VALUE"""),"Lisandro Russian")</f>
        <v>Lisandro Russian</v>
      </c>
      <c r="R441" s="7"/>
    </row>
    <row r="442" spans="5:18">
      <c r="E442" s="7" t="str">
        <f ca="1">IFERROR(__xludf.DUMMYFUNCTION("""COMPUTED_VALUE"""),"Jaime Tisaire Calle")</f>
        <v>Jaime Tisaire Calle</v>
      </c>
      <c r="F442" s="7" t="str">
        <f ca="1">IFERROR(__xludf.DUMMYFUNCTION("""COMPUTED_VALUE"""),"AMM06")</f>
        <v>AMM06</v>
      </c>
      <c r="G442" s="7" t="str">
        <f ca="1">IFERROR(__xludf.DUMMYFUNCTION("""COMPUTED_VALUE"""),"Alberto Moreno")</f>
        <v>Alberto Moreno</v>
      </c>
      <c r="R442" s="7"/>
    </row>
    <row r="443" spans="5:18">
      <c r="E443" s="7" t="str">
        <f ca="1">IFERROR(__xludf.DUMMYFUNCTION("""COMPUTED_VALUE"""),"Javier Alonso Ortega")</f>
        <v>Javier Alonso Ortega</v>
      </c>
      <c r="F443" s="7" t="str">
        <f ca="1">IFERROR(__xludf.DUMMYFUNCTION("""COMPUTED_VALUE"""),"MBM37")</f>
        <v>MBM37</v>
      </c>
      <c r="G443" s="7" t="str">
        <f ca="1">IFERROR(__xludf.DUMMYFUNCTION("""COMPUTED_VALUE"""),"Maika Blázquez")</f>
        <v>Maika Blázquez</v>
      </c>
      <c r="R443" s="7"/>
    </row>
    <row r="444" spans="5:18">
      <c r="E444" s="7" t="str">
        <f ca="1">IFERROR(__xludf.DUMMYFUNCTION("""COMPUTED_VALUE"""),"Javier Gamboa Mutuberria")</f>
        <v>Javier Gamboa Mutuberria</v>
      </c>
      <c r="F444" s="7" t="str">
        <f ca="1">IFERROR(__xludf.DUMMYFUNCTION("""COMPUTED_VALUE"""),"MBM38")</f>
        <v>MBM38</v>
      </c>
      <c r="G444" s="7" t="str">
        <f ca="1">IFERROR(__xludf.DUMMYFUNCTION("""COMPUTED_VALUE"""),"Maika Blázquez")</f>
        <v>Maika Blázquez</v>
      </c>
      <c r="R444" s="7"/>
    </row>
    <row r="445" spans="5:18">
      <c r="E445" s="7" t="str">
        <f ca="1">IFERROR(__xludf.DUMMYFUNCTION("""COMPUTED_VALUE"""),"Javier García Domínguez")</f>
        <v>Javier García Domínguez</v>
      </c>
      <c r="F445" s="7" t="str">
        <f ca="1">IFERROR(__xludf.DUMMYFUNCTION("""COMPUTED_VALUE"""),"MBM39")</f>
        <v>MBM39</v>
      </c>
      <c r="G445" s="7" t="str">
        <f ca="1">IFERROR(__xludf.DUMMYFUNCTION("""COMPUTED_VALUE"""),"Maika Blázquez")</f>
        <v>Maika Blázquez</v>
      </c>
      <c r="R445" s="7"/>
    </row>
    <row r="446" spans="5:18">
      <c r="E446" s="7" t="str">
        <f ca="1">IFERROR(__xludf.DUMMYFUNCTION("""COMPUTED_VALUE"""),"Javier García Gómez")</f>
        <v>Javier García Gómez</v>
      </c>
      <c r="F446" s="7" t="str">
        <f ca="1">IFERROR(__xludf.DUMMYFUNCTION("""COMPUTED_VALUE"""),"LRM58")</f>
        <v>LRM58</v>
      </c>
      <c r="G446" s="7" t="str">
        <f ca="1">IFERROR(__xludf.DUMMYFUNCTION("""COMPUTED_VALUE"""),"Lisandro Russian")</f>
        <v>Lisandro Russian</v>
      </c>
      <c r="R446" s="7"/>
    </row>
    <row r="447" spans="5:18">
      <c r="E447" s="7" t="str">
        <f ca="1">IFERROR(__xludf.DUMMYFUNCTION("""COMPUTED_VALUE"""),"Javier García-Dueñas González")</f>
        <v>Javier García-Dueñas González</v>
      </c>
      <c r="F447" s="7" t="str">
        <f ca="1">IFERROR(__xludf.DUMMYFUNCTION("""COMPUTED_VALUE"""),"ISL41")</f>
        <v>ISL41</v>
      </c>
      <c r="G447" s="7" t="str">
        <f ca="1">IFERROR(__xludf.DUMMYFUNCTION("""COMPUTED_VALUE"""),"Iván Sánchez")</f>
        <v>Iván Sánchez</v>
      </c>
      <c r="R447" s="7"/>
    </row>
    <row r="448" spans="5:18">
      <c r="E448" s="7" t="str">
        <f ca="1">IFERROR(__xludf.DUMMYFUNCTION("""COMPUTED_VALUE"""),"Javier Gavilán Bouzas")</f>
        <v>Javier Gavilán Bouzas</v>
      </c>
      <c r="F448" s="7" t="str">
        <f ca="1">IFERROR(__xludf.DUMMYFUNCTION("""COMPUTED_VALUE"""),"LRM59")</f>
        <v>LRM59</v>
      </c>
      <c r="G448" s="7" t="str">
        <f ca="1">IFERROR(__xludf.DUMMYFUNCTION("""COMPUTED_VALUE"""),"Lisandro Russian")</f>
        <v>Lisandro Russian</v>
      </c>
      <c r="R448" s="7"/>
    </row>
    <row r="449" spans="5:18">
      <c r="E449" s="7" t="str">
        <f ca="1">IFERROR(__xludf.DUMMYFUNCTION("""COMPUTED_VALUE"""),"Javier Gavilanes Plasencia")</f>
        <v>Javier Gavilanes Plasencia</v>
      </c>
      <c r="F449" s="7" t="str">
        <f ca="1">IFERROR(__xludf.DUMMYFUNCTION("""COMPUTED_VALUE"""),"MBM40")</f>
        <v>MBM40</v>
      </c>
      <c r="G449" s="7" t="str">
        <f ca="1">IFERROR(__xludf.DUMMYFUNCTION("""COMPUTED_VALUE"""),"Maika Blázquez")</f>
        <v>Maika Blázquez</v>
      </c>
      <c r="R449" s="7"/>
    </row>
    <row r="450" spans="5:18">
      <c r="E450" s="7" t="str">
        <f ca="1">IFERROR(__xludf.DUMMYFUNCTION("""COMPUTED_VALUE"""),"Javier Herrero Agustín")</f>
        <v>Javier Herrero Agustín</v>
      </c>
      <c r="F450" s="7" t="str">
        <f ca="1">IFERROR(__xludf.DUMMYFUNCTION("""COMPUTED_VALUE"""),"PSC12")</f>
        <v>PSC12</v>
      </c>
      <c r="G450" s="7" t="str">
        <f ca="1">IFERROR(__xludf.DUMMYFUNCTION("""COMPUTED_VALUE"""),"Patricia Solache")</f>
        <v>Patricia Solache</v>
      </c>
      <c r="R450" s="7"/>
    </row>
    <row r="451" spans="5:18">
      <c r="E451" s="7" t="str">
        <f ca="1">IFERROR(__xludf.DUMMYFUNCTION("""COMPUTED_VALUE"""),"Javier Jaramillo Pérez")</f>
        <v>Javier Jaramillo Pérez</v>
      </c>
      <c r="F451" s="7" t="str">
        <f ca="1">IFERROR(__xludf.DUMMYFUNCTION("""COMPUTED_VALUE"""),"LAA22")</f>
        <v>LAA22</v>
      </c>
      <c r="G451" s="7" t="str">
        <f ca="1">IFERROR(__xludf.DUMMYFUNCTION("""COMPUTED_VALUE"""),"Luis Alberto Rodríguez")</f>
        <v>Luis Alberto Rodríguez</v>
      </c>
      <c r="R451" s="7"/>
    </row>
    <row r="452" spans="5:18">
      <c r="E452" s="7" t="str">
        <f ca="1">IFERROR(__xludf.DUMMYFUNCTION("""COMPUTED_VALUE"""),"Javier Lafarga Vázquez")</f>
        <v>Javier Lafarga Vázquez</v>
      </c>
      <c r="F452" s="7" t="str">
        <f ca="1">IFERROR(__xludf.DUMMYFUNCTION("""COMPUTED_VALUE"""),"ISL42")</f>
        <v>ISL42</v>
      </c>
      <c r="G452" s="7" t="str">
        <f ca="1">IFERROR(__xludf.DUMMYFUNCTION("""COMPUTED_VALUE"""),"Iván Sánchez")</f>
        <v>Iván Sánchez</v>
      </c>
      <c r="R452" s="7"/>
    </row>
    <row r="453" spans="5:18">
      <c r="E453" s="7" t="str">
        <f ca="1">IFERROR(__xludf.DUMMYFUNCTION("""COMPUTED_VALUE"""),"Javier Macias Vázquez")</f>
        <v>Javier Macias Vázquez</v>
      </c>
      <c r="F453" s="7" t="str">
        <f ca="1">IFERROR(__xludf.DUMMYFUNCTION("""COMPUTED_VALUE"""),"LAA23")</f>
        <v>LAA23</v>
      </c>
      <c r="G453" s="7" t="str">
        <f ca="1">IFERROR(__xludf.DUMMYFUNCTION("""COMPUTED_VALUE"""),"Luis Alberto Rodríguez")</f>
        <v>Luis Alberto Rodríguez</v>
      </c>
      <c r="R453" s="7"/>
    </row>
    <row r="454" spans="5:18">
      <c r="E454" s="7" t="str">
        <f ca="1">IFERROR(__xludf.DUMMYFUNCTION("""COMPUTED_VALUE"""),"Javier Martín Aguirre")</f>
        <v>Javier Martín Aguirre</v>
      </c>
      <c r="F454" s="7" t="str">
        <f ca="1">IFERROR(__xludf.DUMMYFUNCTION("""COMPUTED_VALUE"""),"RPG15")</f>
        <v>RPG15</v>
      </c>
      <c r="G454" s="7" t="str">
        <f ca="1">IFERROR(__xludf.DUMMYFUNCTION("""COMPUTED_VALUE"""),"Roberto Pereira")</f>
        <v>Roberto Pereira</v>
      </c>
      <c r="R454" s="7"/>
    </row>
    <row r="455" spans="5:18">
      <c r="E455" s="7" t="str">
        <f ca="1">IFERROR(__xludf.DUMMYFUNCTION("""COMPUTED_VALUE"""),"Javier Olarieta Soto")</f>
        <v>Javier Olarieta Soto</v>
      </c>
      <c r="F455" s="7" t="str">
        <f ca="1">IFERROR(__xludf.DUMMYFUNCTION("""COMPUTED_VALUE"""),"MBM41")</f>
        <v>MBM41</v>
      </c>
      <c r="G455" s="7" t="str">
        <f ca="1">IFERROR(__xludf.DUMMYFUNCTION("""COMPUTED_VALUE"""),"Maika Blázquez")</f>
        <v>Maika Blázquez</v>
      </c>
      <c r="R455" s="7"/>
    </row>
    <row r="456" spans="5:18">
      <c r="E456" s="7" t="str">
        <f ca="1">IFERROR(__xludf.DUMMYFUNCTION("""COMPUTED_VALUE"""),"Javier Padilla Caballero")</f>
        <v>Javier Padilla Caballero</v>
      </c>
      <c r="F456" s="7" t="str">
        <f ca="1">IFERROR(__xludf.DUMMYFUNCTION("""COMPUTED_VALUE"""),"ISL43")</f>
        <v>ISL43</v>
      </c>
      <c r="G456" s="7" t="str">
        <f ca="1">IFERROR(__xludf.DUMMYFUNCTION("""COMPUTED_VALUE"""),"Iván Sánchez")</f>
        <v>Iván Sánchez</v>
      </c>
      <c r="R456" s="7"/>
    </row>
    <row r="457" spans="5:18">
      <c r="E457" s="7" t="str">
        <f ca="1">IFERROR(__xludf.DUMMYFUNCTION("""COMPUTED_VALUE"""),"Javier Padilla Cabello")</f>
        <v>Javier Padilla Cabello</v>
      </c>
      <c r="F457" s="7" t="str">
        <f ca="1">IFERROR(__xludf.DUMMYFUNCTION("""COMPUTED_VALUE"""),"RFV40")</f>
        <v>RFV40</v>
      </c>
      <c r="G457" s="7" t="str">
        <f ca="1">IFERROR(__xludf.DUMMYFUNCTION("""COMPUTED_VALUE"""),"Ramon Ferrando")</f>
        <v>Ramon Ferrando</v>
      </c>
      <c r="R457" s="7"/>
    </row>
    <row r="458" spans="5:18">
      <c r="E458" s="7" t="str">
        <f ca="1">IFERROR(__xludf.DUMMYFUNCTION("""COMPUTED_VALUE"""),"Jean Franco Intraprendente Martini")</f>
        <v>Jean Franco Intraprendente Martini</v>
      </c>
      <c r="F458" s="7" t="str">
        <f ca="1">IFERROR(__xludf.DUMMYFUNCTION("""COMPUTED_VALUE"""),"RFV15")</f>
        <v>RFV15</v>
      </c>
      <c r="G458" s="7" t="str">
        <f ca="1">IFERROR(__xludf.DUMMYFUNCTION("""COMPUTED_VALUE"""),"Ramon Ferrando")</f>
        <v>Ramon Ferrando</v>
      </c>
      <c r="R458" s="7"/>
    </row>
    <row r="459" spans="5:18">
      <c r="E459" s="7" t="str">
        <f ca="1">IFERROR(__xludf.DUMMYFUNCTION("""COMPUTED_VALUE"""),"Jehan Lym Lanz Luna")</f>
        <v>Jehan Lym Lanz Luna</v>
      </c>
      <c r="F459" s="7" t="str">
        <f ca="1">IFERROR(__xludf.DUMMYFUNCTION("""COMPUTED_VALUE"""),"LRM60")</f>
        <v>LRM60</v>
      </c>
      <c r="G459" s="7" t="str">
        <f ca="1">IFERROR(__xludf.DUMMYFUNCTION("""COMPUTED_VALUE"""),"Lisandro Russian")</f>
        <v>Lisandro Russian</v>
      </c>
      <c r="R459" s="7"/>
    </row>
    <row r="460" spans="5:18">
      <c r="E460" s="7" t="str">
        <f ca="1">IFERROR(__xludf.DUMMYFUNCTION("""COMPUTED_VALUE"""),"Jeremy Flores Trujillo")</f>
        <v>Jeremy Flores Trujillo</v>
      </c>
      <c r="F460" s="7" t="str">
        <f ca="1">IFERROR(__xludf.DUMMYFUNCTION("""COMPUTED_VALUE"""),"LAA49")</f>
        <v>LAA49</v>
      </c>
      <c r="G460" s="7" t="str">
        <f ca="1">IFERROR(__xludf.DUMMYFUNCTION("""COMPUTED_VALUE"""),"Luis Alberto Rodríguez")</f>
        <v>Luis Alberto Rodríguez</v>
      </c>
      <c r="R460" s="7"/>
    </row>
    <row r="461" spans="5:18">
      <c r="E461" s="7" t="str">
        <f ca="1">IFERROR(__xludf.DUMMYFUNCTION("""COMPUTED_VALUE"""),"Jessica Aguilera García")</f>
        <v>Jessica Aguilera García</v>
      </c>
      <c r="F461" s="7" t="str">
        <f ca="1">IFERROR(__xludf.DUMMYFUNCTION("""COMPUTED_VALUE"""),"MCC74")</f>
        <v>MCC74</v>
      </c>
      <c r="G461" s="7" t="str">
        <f ca="1">IFERROR(__xludf.DUMMYFUNCTION("""COMPUTED_VALUE"""),"Mercè Cabrera")</f>
        <v>Mercè Cabrera</v>
      </c>
      <c r="R461" s="7"/>
    </row>
    <row r="462" spans="5:18">
      <c r="E462" s="7" t="str">
        <f ca="1">IFERROR(__xludf.DUMMYFUNCTION("""COMPUTED_VALUE"""),"Jessica Horna Castiñeiras")</f>
        <v>Jessica Horna Castiñeiras</v>
      </c>
      <c r="F462" s="7" t="str">
        <f ca="1">IFERROR(__xludf.DUMMYFUNCTION("""COMPUTED_VALUE"""),"LRM166")</f>
        <v>LRM166</v>
      </c>
      <c r="G462" s="7" t="str">
        <f ca="1">IFERROR(__xludf.DUMMYFUNCTION("""COMPUTED_VALUE"""),"Lisandro Russian")</f>
        <v>Lisandro Russian</v>
      </c>
      <c r="R462" s="7"/>
    </row>
    <row r="463" spans="5:18">
      <c r="E463" s="7" t="str">
        <f ca="1">IFERROR(__xludf.DUMMYFUNCTION("""COMPUTED_VALUE"""),"Jessica Santillán Coello")</f>
        <v>Jessica Santillán Coello</v>
      </c>
      <c r="F463" s="7" t="str">
        <f ca="1">IFERROR(__xludf.DUMMYFUNCTION("""COMPUTED_VALUE"""),"LRM167")</f>
        <v>LRM167</v>
      </c>
      <c r="G463" s="7" t="str">
        <f ca="1">IFERROR(__xludf.DUMMYFUNCTION("""COMPUTED_VALUE"""),"Lisandro Russian")</f>
        <v>Lisandro Russian</v>
      </c>
      <c r="R463" s="7"/>
    </row>
    <row r="464" spans="5:18">
      <c r="E464" s="7" t="str">
        <f ca="1">IFERROR(__xludf.DUMMYFUNCTION("""COMPUTED_VALUE"""),"Jesús Aarón Martínez Alonso")</f>
        <v>Jesús Aarón Martínez Alonso</v>
      </c>
      <c r="F464" s="7" t="str">
        <f ca="1">IFERROR(__xludf.DUMMYFUNCTION("""COMPUTED_VALUE"""),"ISL44")</f>
        <v>ISL44</v>
      </c>
      <c r="G464" s="7" t="str">
        <f ca="1">IFERROR(__xludf.DUMMYFUNCTION("""COMPUTED_VALUE"""),"Iván Sánchez")</f>
        <v>Iván Sánchez</v>
      </c>
      <c r="R464" s="7"/>
    </row>
    <row r="465" spans="5:18">
      <c r="E465" s="7" t="str">
        <f ca="1">IFERROR(__xludf.DUMMYFUNCTION("""COMPUTED_VALUE"""),"Jesús Atalaya Díaz")</f>
        <v>Jesús Atalaya Díaz</v>
      </c>
      <c r="F465" s="7" t="str">
        <f ca="1">IFERROR(__xludf.DUMMYFUNCTION("""COMPUTED_VALUE"""),"MBM42")</f>
        <v>MBM42</v>
      </c>
      <c r="G465" s="7" t="str">
        <f ca="1">IFERROR(__xludf.DUMMYFUNCTION("""COMPUTED_VALUE"""),"Maika Blázquez")</f>
        <v>Maika Blázquez</v>
      </c>
      <c r="R465" s="7"/>
    </row>
    <row r="466" spans="5:18">
      <c r="E466" s="7" t="str">
        <f ca="1">IFERROR(__xludf.DUMMYFUNCTION("""COMPUTED_VALUE"""),"Jesús Crovato Rojas")</f>
        <v>Jesús Crovato Rojas</v>
      </c>
      <c r="F466" s="7" t="str">
        <f ca="1">IFERROR(__xludf.DUMMYFUNCTION("""COMPUTED_VALUE"""),"LAA24")</f>
        <v>LAA24</v>
      </c>
      <c r="G466" s="7" t="str">
        <f ca="1">IFERROR(__xludf.DUMMYFUNCTION("""COMPUTED_VALUE"""),"Luis Alberto Rodríguez")</f>
        <v>Luis Alberto Rodríguez</v>
      </c>
      <c r="R466" s="7"/>
    </row>
    <row r="467" spans="5:18">
      <c r="E467" s="7" t="str">
        <f ca="1">IFERROR(__xludf.DUMMYFUNCTION("""COMPUTED_VALUE"""),"Jesús Eduardo Ramírez Salas")</f>
        <v>Jesús Eduardo Ramírez Salas</v>
      </c>
      <c r="F467" s="7" t="str">
        <f ca="1">IFERROR(__xludf.DUMMYFUNCTION("""COMPUTED_VALUE"""),"PSC13")</f>
        <v>PSC13</v>
      </c>
      <c r="G467" s="7" t="str">
        <f ca="1">IFERROR(__xludf.DUMMYFUNCTION("""COMPUTED_VALUE"""),"Patricia Solache")</f>
        <v>Patricia Solache</v>
      </c>
      <c r="R467" s="7"/>
    </row>
    <row r="468" spans="5:18">
      <c r="E468" s="7" t="str">
        <f ca="1">IFERROR(__xludf.DUMMYFUNCTION("""COMPUTED_VALUE"""),"Jesús Esteban Rebollo")</f>
        <v>Jesús Esteban Rebollo</v>
      </c>
      <c r="F468" s="7" t="str">
        <f ca="1">IFERROR(__xludf.DUMMYFUNCTION("""COMPUTED_VALUE"""),"LRM61")</f>
        <v>LRM61</v>
      </c>
      <c r="G468" s="7" t="str">
        <f ca="1">IFERROR(__xludf.DUMMYFUNCTION("""COMPUTED_VALUE"""),"Lisandro Russian")</f>
        <v>Lisandro Russian</v>
      </c>
      <c r="R468" s="7"/>
    </row>
    <row r="469" spans="5:18">
      <c r="E469" s="7" t="str">
        <f ca="1">IFERROR(__xludf.DUMMYFUNCTION("""COMPUTED_VALUE"""),"Jesús García Ahijado")</f>
        <v>Jesús García Ahijado</v>
      </c>
      <c r="F469" s="7" t="str">
        <f ca="1">IFERROR(__xludf.DUMMYFUNCTION("""COMPUTED_VALUE"""),"LRM62")</f>
        <v>LRM62</v>
      </c>
      <c r="G469" s="7" t="str">
        <f ca="1">IFERROR(__xludf.DUMMYFUNCTION("""COMPUTED_VALUE"""),"Lisandro Russian")</f>
        <v>Lisandro Russian</v>
      </c>
      <c r="R469" s="7"/>
    </row>
    <row r="470" spans="5:18">
      <c r="E470" s="7" t="str">
        <f ca="1">IFERROR(__xludf.DUMMYFUNCTION("""COMPUTED_VALUE"""),"Jesús García Ruiz")</f>
        <v>Jesús García Ruiz</v>
      </c>
      <c r="F470" s="7" t="str">
        <f ca="1">IFERROR(__xludf.DUMMYFUNCTION("""COMPUTED_VALUE"""),"RFV40")</f>
        <v>RFV40</v>
      </c>
      <c r="G470" s="7" t="str">
        <f ca="1">IFERROR(__xludf.DUMMYFUNCTION("""COMPUTED_VALUE"""),"Ramon Ferrando")</f>
        <v>Ramon Ferrando</v>
      </c>
      <c r="R470" s="7"/>
    </row>
    <row r="471" spans="5:18">
      <c r="E471" s="7" t="str">
        <f ca="1">IFERROR(__xludf.DUMMYFUNCTION("""COMPUTED_VALUE"""),"Jesus Gimeno Hernández")</f>
        <v>Jesus Gimeno Hernández</v>
      </c>
      <c r="F471" s="7" t="str">
        <f ca="1">IFERROR(__xludf.DUMMYFUNCTION("""COMPUTED_VALUE"""),"LRM63")</f>
        <v>LRM63</v>
      </c>
      <c r="G471" s="7" t="str">
        <f ca="1">IFERROR(__xludf.DUMMYFUNCTION("""COMPUTED_VALUE"""),"Lisandro Russian")</f>
        <v>Lisandro Russian</v>
      </c>
      <c r="R471" s="7"/>
    </row>
    <row r="472" spans="5:18">
      <c r="E472" s="7" t="str">
        <f ca="1">IFERROR(__xludf.DUMMYFUNCTION("""COMPUTED_VALUE"""),"Jesús Herranz González-Botas")</f>
        <v>Jesús Herranz González-Botas</v>
      </c>
      <c r="F472" s="7" t="str">
        <f ca="1">IFERROR(__xludf.DUMMYFUNCTION("""COMPUTED_VALUE"""),"RPG16")</f>
        <v>RPG16</v>
      </c>
      <c r="G472" s="7" t="str">
        <f ca="1">IFERROR(__xludf.DUMMYFUNCTION("""COMPUTED_VALUE"""),"Roberto Pereira")</f>
        <v>Roberto Pereira</v>
      </c>
      <c r="R472" s="7"/>
    </row>
    <row r="473" spans="5:18">
      <c r="E473" s="7" t="str">
        <f ca="1">IFERROR(__xludf.DUMMYFUNCTION("""COMPUTED_VALUE"""),"Jesús Herranz Larrañeta")</f>
        <v>Jesús Herranz Larrañeta</v>
      </c>
      <c r="F473" s="7" t="str">
        <f ca="1">IFERROR(__xludf.DUMMYFUNCTION("""COMPUTED_VALUE"""),"RPG17")</f>
        <v>RPG17</v>
      </c>
      <c r="G473" s="7" t="str">
        <f ca="1">IFERROR(__xludf.DUMMYFUNCTION("""COMPUTED_VALUE"""),"Roberto Pereira")</f>
        <v>Roberto Pereira</v>
      </c>
      <c r="R473" s="7"/>
    </row>
    <row r="474" spans="5:18">
      <c r="E474" s="7" t="str">
        <f ca="1">IFERROR(__xludf.DUMMYFUNCTION("""COMPUTED_VALUE"""),"Jesús José Fraile Rodrigo")</f>
        <v>Jesús José Fraile Rodrigo</v>
      </c>
      <c r="F474" s="7" t="str">
        <f ca="1">IFERROR(__xludf.DUMMYFUNCTION("""COMPUTED_VALUE"""),"LRM64")</f>
        <v>LRM64</v>
      </c>
      <c r="G474" s="7" t="str">
        <f ca="1">IFERROR(__xludf.DUMMYFUNCTION("""COMPUTED_VALUE"""),"Lisandro Russian")</f>
        <v>Lisandro Russian</v>
      </c>
      <c r="R474" s="7"/>
    </row>
    <row r="475" spans="5:18">
      <c r="E475" s="7" t="str">
        <f ca="1">IFERROR(__xludf.DUMMYFUNCTION("""COMPUTED_VALUE"""),"Jesús López Palomo")</f>
        <v>Jesús López Palomo</v>
      </c>
      <c r="F475" s="7" t="str">
        <f ca="1">IFERROR(__xludf.DUMMYFUNCTION("""COMPUTED_VALUE"""),"LAA62")</f>
        <v>LAA62</v>
      </c>
      <c r="G475" s="7" t="str">
        <f ca="1">IFERROR(__xludf.DUMMYFUNCTION("""COMPUTED_VALUE"""),"Luis Alberto Rodríguez")</f>
        <v>Luis Alberto Rodríguez</v>
      </c>
      <c r="R475" s="7"/>
    </row>
    <row r="476" spans="5:18">
      <c r="E476" s="7" t="str">
        <f ca="1">IFERROR(__xludf.DUMMYFUNCTION("""COMPUTED_VALUE"""),"Jesús María Martín Tabernero")</f>
        <v>Jesús María Martín Tabernero</v>
      </c>
      <c r="F476" s="7" t="str">
        <f ca="1">IFERROR(__xludf.DUMMYFUNCTION("""COMPUTED_VALUE"""),"LRM65")</f>
        <v>LRM65</v>
      </c>
      <c r="G476" s="7" t="str">
        <f ca="1">IFERROR(__xludf.DUMMYFUNCTION("""COMPUTED_VALUE"""),"Lisandro Russian")</f>
        <v>Lisandro Russian</v>
      </c>
      <c r="R476" s="7"/>
    </row>
    <row r="477" spans="5:18">
      <c r="E477" s="7" t="str">
        <f ca="1">IFERROR(__xludf.DUMMYFUNCTION("""COMPUTED_VALUE"""),"Jesús María Moreno Bernal")</f>
        <v>Jesús María Moreno Bernal</v>
      </c>
      <c r="F477" s="7" t="str">
        <f ca="1">IFERROR(__xludf.DUMMYFUNCTION("""COMPUTED_VALUE"""),"LAA25")</f>
        <v>LAA25</v>
      </c>
      <c r="G477" s="7" t="str">
        <f ca="1">IFERROR(__xludf.DUMMYFUNCTION("""COMPUTED_VALUE"""),"Luis Alberto Rodríguez")</f>
        <v>Luis Alberto Rodríguez</v>
      </c>
      <c r="R477" s="7"/>
    </row>
    <row r="478" spans="5:18">
      <c r="E478" s="7" t="str">
        <f ca="1">IFERROR(__xludf.DUMMYFUNCTION("""COMPUTED_VALUE"""),"Jesús Miguel Iniesta Turpín")</f>
        <v>Jesús Miguel Iniesta Turpín</v>
      </c>
      <c r="F478" s="7" t="str">
        <f ca="1">IFERROR(__xludf.DUMMYFUNCTION("""COMPUTED_VALUE"""),"ISL45")</f>
        <v>ISL45</v>
      </c>
      <c r="G478" s="7" t="str">
        <f ca="1">IFERROR(__xludf.DUMMYFUNCTION("""COMPUTED_VALUE"""),"Iván Sánchez")</f>
        <v>Iván Sánchez</v>
      </c>
      <c r="R478" s="7"/>
    </row>
    <row r="479" spans="5:18">
      <c r="E479" s="7" t="str">
        <f ca="1">IFERROR(__xludf.DUMMYFUNCTION("""COMPUTED_VALUE"""),"Jesús Monzón Doldan")</f>
        <v>Jesús Monzón Doldan</v>
      </c>
      <c r="F479" s="7" t="str">
        <f ca="1">IFERROR(__xludf.DUMMYFUNCTION("""COMPUTED_VALUE"""),"MCC17")</f>
        <v>MCC17</v>
      </c>
      <c r="G479" s="7" t="str">
        <f ca="1">IFERROR(__xludf.DUMMYFUNCTION("""COMPUTED_VALUE"""),"Mercè Cabrera")</f>
        <v>Mercè Cabrera</v>
      </c>
      <c r="R479" s="7"/>
    </row>
    <row r="480" spans="5:18">
      <c r="E480" s="7" t="str">
        <f ca="1">IFERROR(__xludf.DUMMYFUNCTION("""COMPUTED_VALUE"""),"Jesús Ramos Fernández")</f>
        <v>Jesús Ramos Fernández</v>
      </c>
      <c r="F480" s="7" t="str">
        <f ca="1">IFERROR(__xludf.DUMMYFUNCTION("""COMPUTED_VALUE"""),"MBM43")</f>
        <v>MBM43</v>
      </c>
      <c r="G480" s="7" t="str">
        <f ca="1">IFERROR(__xludf.DUMMYFUNCTION("""COMPUTED_VALUE"""),"Maika Blázquez")</f>
        <v>Maika Blázquez</v>
      </c>
      <c r="R480" s="7"/>
    </row>
    <row r="481" spans="5:18">
      <c r="E481" s="7" t="str">
        <f ca="1">IFERROR(__xludf.DUMMYFUNCTION("""COMPUTED_VALUE"""),"Jesús San Román Carbajo")</f>
        <v>Jesús San Román Carbajo</v>
      </c>
      <c r="F481" s="7" t="str">
        <f ca="1">IFERROR(__xludf.DUMMYFUNCTION("""COMPUTED_VALUE"""),"PSC14")</f>
        <v>PSC14</v>
      </c>
      <c r="G481" s="7" t="str">
        <f ca="1">IFERROR(__xludf.DUMMYFUNCTION("""COMPUTED_VALUE"""),"Patricia Solache")</f>
        <v>Patricia Solache</v>
      </c>
      <c r="R481" s="7"/>
    </row>
    <row r="482" spans="5:18">
      <c r="E482" s="7" t="str">
        <f ca="1">IFERROR(__xludf.DUMMYFUNCTION("""COMPUTED_VALUE"""),"Jesús Tomás Onrubia Parra")</f>
        <v>Jesús Tomás Onrubia Parra</v>
      </c>
      <c r="F482" s="7" t="str">
        <f ca="1">IFERROR(__xludf.DUMMYFUNCTION("""COMPUTED_VALUE"""),"MBM44")</f>
        <v>MBM44</v>
      </c>
      <c r="G482" s="7" t="str">
        <f ca="1">IFERROR(__xludf.DUMMYFUNCTION("""COMPUTED_VALUE"""),"Maika Blázquez")</f>
        <v>Maika Blázquez</v>
      </c>
      <c r="R482" s="7"/>
    </row>
    <row r="483" spans="5:18">
      <c r="E483" s="7" t="str">
        <f ca="1">IFERROR(__xludf.DUMMYFUNCTION("""COMPUTED_VALUE"""),"Jesus-Maria Grasa Pérez")</f>
        <v>Jesus-Maria Grasa Pérez</v>
      </c>
      <c r="F483" s="7" t="str">
        <f ca="1">IFERROR(__xludf.DUMMYFUNCTION("""COMPUTED_VALUE"""),"MCC18")</f>
        <v>MCC18</v>
      </c>
      <c r="G483" s="7" t="str">
        <f ca="1">IFERROR(__xludf.DUMMYFUNCTION("""COMPUTED_VALUE"""),"Mercè Cabrera")</f>
        <v>Mercè Cabrera</v>
      </c>
      <c r="R483" s="7"/>
    </row>
    <row r="484" spans="5:18">
      <c r="E484" s="7" t="str">
        <f ca="1">IFERROR(__xludf.DUMMYFUNCTION("""COMPUTED_VALUE"""),"Joan Remacha Sardà")</f>
        <v>Joan Remacha Sardà</v>
      </c>
      <c r="F484" s="7" t="str">
        <f ca="1">IFERROR(__xludf.DUMMYFUNCTION("""COMPUTED_VALUE"""),"MCC71")</f>
        <v>MCC71</v>
      </c>
      <c r="G484" s="7" t="str">
        <f ca="1">IFERROR(__xludf.DUMMYFUNCTION("""COMPUTED_VALUE"""),"Mercè Cabrera")</f>
        <v>Mercè Cabrera</v>
      </c>
      <c r="R484" s="7"/>
    </row>
    <row r="485" spans="5:18">
      <c r="E485" s="7" t="str">
        <f ca="1">IFERROR(__xludf.DUMMYFUNCTION("""COMPUTED_VALUE"""),"Joaquim Broto Sumalla")</f>
        <v>Joaquim Broto Sumalla</v>
      </c>
      <c r="F485" s="7" t="str">
        <f ca="1">IFERROR(__xludf.DUMMYFUNCTION("""COMPUTED_VALUE"""),"MCC19")</f>
        <v>MCC19</v>
      </c>
      <c r="G485" s="7" t="str">
        <f ca="1">IFERROR(__xludf.DUMMYFUNCTION("""COMPUTED_VALUE"""),"Mercè Cabrera")</f>
        <v>Mercè Cabrera</v>
      </c>
      <c r="R485" s="7"/>
    </row>
    <row r="486" spans="5:18">
      <c r="E486" s="7" t="str">
        <f ca="1">IFERROR(__xludf.DUMMYFUNCTION("""COMPUTED_VALUE"""),"Joaquín Alacio Casero")</f>
        <v>Joaquín Alacio Casero</v>
      </c>
      <c r="F486" s="7" t="str">
        <f ca="1">IFERROR(__xludf.DUMMYFUNCTION("""COMPUTED_VALUE"""),"MBM45")</f>
        <v>MBM45</v>
      </c>
      <c r="G486" s="7" t="str">
        <f ca="1">IFERROR(__xludf.DUMMYFUNCTION("""COMPUTED_VALUE"""),"Maika Blázquez")</f>
        <v>Maika Blázquez</v>
      </c>
      <c r="R486" s="7"/>
    </row>
    <row r="487" spans="5:18">
      <c r="E487" s="7" t="str">
        <f ca="1">IFERROR(__xludf.DUMMYFUNCTION("""COMPUTED_VALUE"""),"Joaquín Guerra Gómez")</f>
        <v>Joaquín Guerra Gómez</v>
      </c>
      <c r="F487" s="7" t="str">
        <f ca="1">IFERROR(__xludf.DUMMYFUNCTION("""COMPUTED_VALUE"""),"RPG18")</f>
        <v>RPG18</v>
      </c>
      <c r="G487" s="7" t="str">
        <f ca="1">IFERROR(__xludf.DUMMYFUNCTION("""COMPUTED_VALUE"""),"Roberto Pereira")</f>
        <v>Roberto Pereira</v>
      </c>
      <c r="R487" s="7"/>
    </row>
    <row r="488" spans="5:18">
      <c r="E488" s="7" t="str">
        <f ca="1">IFERROR(__xludf.DUMMYFUNCTION("""COMPUTED_VALUE"""),"Joaquín Palacios Latasa")</f>
        <v>Joaquín Palacios Latasa</v>
      </c>
      <c r="F488" s="7" t="str">
        <f ca="1">IFERROR(__xludf.DUMMYFUNCTION("""COMPUTED_VALUE"""),"LRM66")</f>
        <v>LRM66</v>
      </c>
      <c r="G488" s="7" t="str">
        <f ca="1">IFERROR(__xludf.DUMMYFUNCTION("""COMPUTED_VALUE"""),"Lisandro Russian")</f>
        <v>Lisandro Russian</v>
      </c>
      <c r="R488" s="7"/>
    </row>
    <row r="489" spans="5:18">
      <c r="E489" s="7" t="str">
        <f ca="1">IFERROR(__xludf.DUMMYFUNCTION("""COMPUTED_VALUE"""),"Joaquín Pérez Rull")</f>
        <v>Joaquín Pérez Rull</v>
      </c>
      <c r="F489" s="7" t="str">
        <f ca="1">IFERROR(__xludf.DUMMYFUNCTION("""COMPUTED_VALUE"""),"RFV02")</f>
        <v>RFV02</v>
      </c>
      <c r="G489" s="7" t="str">
        <f ca="1">IFERROR(__xludf.DUMMYFUNCTION("""COMPUTED_VALUE"""),"Ramon Ferrando")</f>
        <v>Ramon Ferrando</v>
      </c>
      <c r="R489" s="7"/>
    </row>
    <row r="490" spans="5:18">
      <c r="E490" s="7" t="str">
        <f ca="1">IFERROR(__xludf.DUMMYFUNCTION("""COMPUTED_VALUE"""),"Joaquín Pérez Villar")</f>
        <v>Joaquín Pérez Villar</v>
      </c>
      <c r="F490" s="7" t="str">
        <f ca="1">IFERROR(__xludf.DUMMYFUNCTION("""COMPUTED_VALUE"""),"RPG19")</f>
        <v>RPG19</v>
      </c>
      <c r="G490" s="7" t="str">
        <f ca="1">IFERROR(__xludf.DUMMYFUNCTION("""COMPUTED_VALUE"""),"Roberto Pereira")</f>
        <v>Roberto Pereira</v>
      </c>
      <c r="R490" s="7"/>
    </row>
    <row r="491" spans="5:18">
      <c r="E491" s="7" t="str">
        <f ca="1">IFERROR(__xludf.DUMMYFUNCTION("""COMPUTED_VALUE"""),"Jonathan Esteban Sánchez")</f>
        <v>Jonathan Esteban Sánchez</v>
      </c>
      <c r="F491" s="7" t="str">
        <f ca="1">IFERROR(__xludf.DUMMYFUNCTION("""COMPUTED_VALUE"""),"MBM46")</f>
        <v>MBM46</v>
      </c>
      <c r="G491" s="7" t="str">
        <f ca="1">IFERROR(__xludf.DUMMYFUNCTION("""COMPUTED_VALUE"""),"Maika Blázquez")</f>
        <v>Maika Blázquez</v>
      </c>
      <c r="R491" s="7"/>
    </row>
    <row r="492" spans="5:18">
      <c r="E492" s="7" t="str">
        <f ca="1">IFERROR(__xludf.DUMMYFUNCTION("""COMPUTED_VALUE"""),"Jordi Calvo Gómez")</f>
        <v>Jordi Calvo Gómez</v>
      </c>
      <c r="F492" s="7" t="str">
        <f ca="1">IFERROR(__xludf.DUMMYFUNCTION("""COMPUTED_VALUE"""),"ISL46")</f>
        <v>ISL46</v>
      </c>
      <c r="G492" s="7" t="str">
        <f ca="1">IFERROR(__xludf.DUMMYFUNCTION("""COMPUTED_VALUE"""),"Iván Sánchez")</f>
        <v>Iván Sánchez</v>
      </c>
      <c r="R492" s="7"/>
    </row>
    <row r="493" spans="5:18">
      <c r="E493" s="7" t="str">
        <f ca="1">IFERROR(__xludf.DUMMYFUNCTION("""COMPUTED_VALUE"""),"Jordi Lluansi Panella")</f>
        <v>Jordi Lluansi Panella</v>
      </c>
      <c r="F493" s="7" t="str">
        <f ca="1">IFERROR(__xludf.DUMMYFUNCTION("""COMPUTED_VALUE"""),"MCC20")</f>
        <v>MCC20</v>
      </c>
      <c r="G493" s="7" t="str">
        <f ca="1">IFERROR(__xludf.DUMMYFUNCTION("""COMPUTED_VALUE"""),"Mercè Cabrera")</f>
        <v>Mercè Cabrera</v>
      </c>
      <c r="R493" s="7"/>
    </row>
    <row r="494" spans="5:18">
      <c r="E494" s="7" t="str">
        <f ca="1">IFERROR(__xludf.DUMMYFUNCTION("""COMPUTED_VALUE"""),"Jorge Alberto Jiménez Antolín")</f>
        <v>Jorge Alberto Jiménez Antolín</v>
      </c>
      <c r="F494" s="7" t="str">
        <f ca="1">IFERROR(__xludf.DUMMYFUNCTION("""COMPUTED_VALUE"""),"LRM67")</f>
        <v>LRM67</v>
      </c>
      <c r="G494" s="7" t="str">
        <f ca="1">IFERROR(__xludf.DUMMYFUNCTION("""COMPUTED_VALUE"""),"Lisandro Russian")</f>
        <v>Lisandro Russian</v>
      </c>
      <c r="R494" s="7"/>
    </row>
    <row r="495" spans="5:18">
      <c r="E495" s="7" t="str">
        <f ca="1">IFERROR(__xludf.DUMMYFUNCTION("""COMPUTED_VALUE"""),"Jorge Alfaro García")</f>
        <v>Jorge Alfaro García</v>
      </c>
      <c r="F495" s="7" t="str">
        <f ca="1">IFERROR(__xludf.DUMMYFUNCTION("""COMPUTED_VALUE"""),"LRM68")</f>
        <v>LRM68</v>
      </c>
      <c r="G495" s="7" t="str">
        <f ca="1">IFERROR(__xludf.DUMMYFUNCTION("""COMPUTED_VALUE"""),"Lisandro Russian")</f>
        <v>Lisandro Russian</v>
      </c>
      <c r="R495" s="7"/>
    </row>
    <row r="496" spans="5:18">
      <c r="E496" s="7" t="str">
        <f ca="1">IFERROR(__xludf.DUMMYFUNCTION("""COMPUTED_VALUE"""),"Jorge Benito Jiménez")</f>
        <v>Jorge Benito Jiménez</v>
      </c>
      <c r="F496" s="7" t="str">
        <f ca="1">IFERROR(__xludf.DUMMYFUNCTION("""COMPUTED_VALUE"""),"LAA26")</f>
        <v>LAA26</v>
      </c>
      <c r="G496" s="7" t="str">
        <f ca="1">IFERROR(__xludf.DUMMYFUNCTION("""COMPUTED_VALUE"""),"Luis Alberto Rodríguez")</f>
        <v>Luis Alberto Rodríguez</v>
      </c>
      <c r="R496" s="7"/>
    </row>
    <row r="497" spans="5:18">
      <c r="E497" s="7" t="str">
        <f ca="1">IFERROR(__xludf.DUMMYFUNCTION("""COMPUTED_VALUE"""),"Jorge Cantavella Ventura")</f>
        <v>Jorge Cantavella Ventura</v>
      </c>
      <c r="F497" s="7" t="str">
        <f ca="1">IFERROR(__xludf.DUMMYFUNCTION("""COMPUTED_VALUE"""),"ISL47")</f>
        <v>ISL47</v>
      </c>
      <c r="G497" s="7" t="str">
        <f ca="1">IFERROR(__xludf.DUMMYFUNCTION("""COMPUTED_VALUE"""),"Iván Sánchez")</f>
        <v>Iván Sánchez</v>
      </c>
      <c r="R497" s="7"/>
    </row>
    <row r="498" spans="5:18">
      <c r="E498" s="7" t="str">
        <f ca="1">IFERROR(__xludf.DUMMYFUNCTION("""COMPUTED_VALUE"""),"Jorge Damborenea Tajada")</f>
        <v>Jorge Damborenea Tajada</v>
      </c>
      <c r="F498" s="7" t="str">
        <f ca="1">IFERROR(__xludf.DUMMYFUNCTION("""COMPUTED_VALUE"""),"LRM247")</f>
        <v>LRM247</v>
      </c>
      <c r="G498" s="7" t="str">
        <f ca="1">IFERROR(__xludf.DUMMYFUNCTION("""COMPUTED_VALUE"""),"Lisandro Russian")</f>
        <v>Lisandro Russian</v>
      </c>
      <c r="R498" s="7"/>
    </row>
    <row r="499" spans="5:18">
      <c r="E499" s="7" t="str">
        <f ca="1">IFERROR(__xludf.DUMMYFUNCTION("""COMPUTED_VALUE"""),"Jorge Freijanes Otero")</f>
        <v>Jorge Freijanes Otero</v>
      </c>
      <c r="F499" s="7" t="str">
        <f ca="1">IFERROR(__xludf.DUMMYFUNCTION("""COMPUTED_VALUE"""),"PSC15")</f>
        <v>PSC15</v>
      </c>
      <c r="G499" s="7" t="str">
        <f ca="1">IFERROR(__xludf.DUMMYFUNCTION("""COMPUTED_VALUE"""),"Patricia Solache")</f>
        <v>Patricia Solache</v>
      </c>
      <c r="R499" s="7"/>
    </row>
    <row r="500" spans="5:18">
      <c r="E500" s="7" t="str">
        <f ca="1">IFERROR(__xludf.DUMMYFUNCTION("""COMPUTED_VALUE"""),"Jorge Prada Pendolero")</f>
        <v>Jorge Prada Pendolero</v>
      </c>
      <c r="F500" s="7" t="str">
        <f ca="1">IFERROR(__xludf.DUMMYFUNCTION("""COMPUTED_VALUE"""),"MBM47")</f>
        <v>MBM47</v>
      </c>
      <c r="G500" s="7" t="str">
        <f ca="1">IFERROR(__xludf.DUMMYFUNCTION("""COMPUTED_VALUE"""),"Maika Blázquez")</f>
        <v>Maika Blázquez</v>
      </c>
      <c r="R500" s="7"/>
    </row>
    <row r="501" spans="5:18">
      <c r="E501" s="7" t="str">
        <f ca="1">IFERROR(__xludf.DUMMYFUNCTION("""COMPUTED_VALUE"""),"Jorge Sevil Navarro")</f>
        <v>Jorge Sevil Navarro</v>
      </c>
      <c r="F501" s="7" t="str">
        <f ca="1">IFERROR(__xludf.DUMMYFUNCTION("""COMPUTED_VALUE"""),"LRM69")</f>
        <v>LRM69</v>
      </c>
      <c r="G501" s="7" t="str">
        <f ca="1">IFERROR(__xludf.DUMMYFUNCTION("""COMPUTED_VALUE"""),"Lisandro Russian")</f>
        <v>Lisandro Russian</v>
      </c>
      <c r="R501" s="7"/>
    </row>
    <row r="502" spans="5:18">
      <c r="E502" s="7" t="str">
        <f ca="1">IFERROR(__xludf.DUMMYFUNCTION("""COMPUTED_VALUE"""),"José Altagracia Almonte Marte")</f>
        <v>José Altagracia Almonte Marte</v>
      </c>
      <c r="F502" s="7" t="str">
        <f ca="1">IFERROR(__xludf.DUMMYFUNCTION("""COMPUTED_VALUE"""),"MCC21")</f>
        <v>MCC21</v>
      </c>
      <c r="G502" s="7" t="str">
        <f ca="1">IFERROR(__xludf.DUMMYFUNCTION("""COMPUTED_VALUE"""),"Mercè Cabrera")</f>
        <v>Mercè Cabrera</v>
      </c>
      <c r="R502" s="7"/>
    </row>
    <row r="503" spans="5:18">
      <c r="E503" s="7" t="str">
        <f ca="1">IFERROR(__xludf.DUMMYFUNCTION("""COMPUTED_VALUE"""),"José Ángel Garzón Calles")</f>
        <v>José Ángel Garzón Calles</v>
      </c>
      <c r="F503" s="7" t="str">
        <f ca="1">IFERROR(__xludf.DUMMYFUNCTION("""COMPUTED_VALUE"""),"LRM70")</f>
        <v>LRM70</v>
      </c>
      <c r="G503" s="7" t="str">
        <f ca="1">IFERROR(__xludf.DUMMYFUNCTION("""COMPUTED_VALUE"""),"Lisandro Russian")</f>
        <v>Lisandro Russian</v>
      </c>
      <c r="R503" s="7"/>
    </row>
    <row r="504" spans="5:18">
      <c r="E504" s="7" t="str">
        <f ca="1">IFERROR(__xludf.DUMMYFUNCTION("""COMPUTED_VALUE"""),"José Antonio Álvarez Martín")</f>
        <v>José Antonio Álvarez Martín</v>
      </c>
      <c r="F504" s="7" t="str">
        <f ca="1">IFERROR(__xludf.DUMMYFUNCTION("""COMPUTED_VALUE"""),"ISL48")</f>
        <v>ISL48</v>
      </c>
      <c r="G504" s="7" t="str">
        <f ca="1">IFERROR(__xludf.DUMMYFUNCTION("""COMPUTED_VALUE"""),"Iván Sánchez")</f>
        <v>Iván Sánchez</v>
      </c>
      <c r="R504" s="7"/>
    </row>
    <row r="505" spans="5:18">
      <c r="E505" s="7" t="str">
        <f ca="1">IFERROR(__xludf.DUMMYFUNCTION("""COMPUTED_VALUE"""),"Jose Antonio Anta Escudero")</f>
        <v>Jose Antonio Anta Escudero</v>
      </c>
      <c r="F505" s="7" t="str">
        <f ca="1">IFERROR(__xludf.DUMMYFUNCTION("""COMPUTED_VALUE"""),"AMM07")</f>
        <v>AMM07</v>
      </c>
      <c r="G505" s="7" t="str">
        <f ca="1">IFERROR(__xludf.DUMMYFUNCTION("""COMPUTED_VALUE"""),"Alberto Moreno")</f>
        <v>Alberto Moreno</v>
      </c>
      <c r="R505" s="7"/>
    </row>
    <row r="506" spans="5:18">
      <c r="E506" s="7" t="str">
        <f ca="1">IFERROR(__xludf.DUMMYFUNCTION("""COMPUTED_VALUE"""),"José Antonio Castro Cuerpo")</f>
        <v>José Antonio Castro Cuerpo</v>
      </c>
      <c r="F506" s="7" t="str">
        <f ca="1">IFERROR(__xludf.DUMMYFUNCTION("""COMPUTED_VALUE"""),"MBM48")</f>
        <v>MBM48</v>
      </c>
      <c r="G506" s="7" t="str">
        <f ca="1">IFERROR(__xludf.DUMMYFUNCTION("""COMPUTED_VALUE"""),"Maika Blázquez")</f>
        <v>Maika Blázquez</v>
      </c>
      <c r="R506" s="7"/>
    </row>
    <row r="507" spans="5:18">
      <c r="E507" s="7" t="str">
        <f ca="1">IFERROR(__xludf.DUMMYFUNCTION("""COMPUTED_VALUE"""),"José Antonio Díaz Manzano")</f>
        <v>José Antonio Díaz Manzano</v>
      </c>
      <c r="F507" s="7" t="str">
        <f ca="1">IFERROR(__xludf.DUMMYFUNCTION("""COMPUTED_VALUE"""),"ISL144")</f>
        <v>ISL144</v>
      </c>
      <c r="G507" s="7" t="str">
        <f ca="1">IFERROR(__xludf.DUMMYFUNCTION("""COMPUTED_VALUE"""),"Iván Sánchez")</f>
        <v>Iván Sánchez</v>
      </c>
      <c r="R507" s="7"/>
    </row>
    <row r="508" spans="5:18">
      <c r="E508" s="7" t="str">
        <f ca="1">IFERROR(__xludf.DUMMYFUNCTION("""COMPUTED_VALUE"""),"José Antonio Maltrana García")</f>
        <v>José Antonio Maltrana García</v>
      </c>
      <c r="F508" s="7" t="str">
        <f ca="1">IFERROR(__xludf.DUMMYFUNCTION("""COMPUTED_VALUE"""),"LRM71")</f>
        <v>LRM71</v>
      </c>
      <c r="G508" s="7" t="str">
        <f ca="1">IFERROR(__xludf.DUMMYFUNCTION("""COMPUTED_VALUE"""),"Lisandro Russian")</f>
        <v>Lisandro Russian</v>
      </c>
      <c r="R508" s="7"/>
    </row>
    <row r="509" spans="5:18">
      <c r="E509" s="7" t="str">
        <f ca="1">IFERROR(__xludf.DUMMYFUNCTION("""COMPUTED_VALUE"""),"Jose Antonio Sancipriano Hernández")</f>
        <v>Jose Antonio Sancipriano Hernández</v>
      </c>
      <c r="F509" s="7" t="str">
        <f ca="1">IFERROR(__xludf.DUMMYFUNCTION("""COMPUTED_VALUE"""),"PSC16")</f>
        <v>PSC16</v>
      </c>
      <c r="G509" s="7" t="str">
        <f ca="1">IFERROR(__xludf.DUMMYFUNCTION("""COMPUTED_VALUE"""),"Patricia Solache")</f>
        <v>Patricia Solache</v>
      </c>
      <c r="R509" s="7"/>
    </row>
    <row r="510" spans="5:18">
      <c r="E510" s="7" t="str">
        <f ca="1">IFERROR(__xludf.DUMMYFUNCTION("""COMPUTED_VALUE"""),"Jose Antonio Torre Eiriz")</f>
        <v>Jose Antonio Torre Eiriz</v>
      </c>
      <c r="F510" s="7" t="str">
        <f ca="1">IFERROR(__xludf.DUMMYFUNCTION("""COMPUTED_VALUE"""),"RPG20")</f>
        <v>RPG20</v>
      </c>
      <c r="G510" s="7" t="str">
        <f ca="1">IFERROR(__xludf.DUMMYFUNCTION("""COMPUTED_VALUE"""),"Roberto Pereira")</f>
        <v>Roberto Pereira</v>
      </c>
      <c r="R510" s="7"/>
    </row>
    <row r="511" spans="5:18">
      <c r="E511" s="7" t="str">
        <f ca="1">IFERROR(__xludf.DUMMYFUNCTION("""COMPUTED_VALUE"""),"José Carlos Casqueiro Sánchez")</f>
        <v>José Carlos Casqueiro Sánchez</v>
      </c>
      <c r="F511" s="7" t="str">
        <f ca="1">IFERROR(__xludf.DUMMYFUNCTION("""COMPUTED_VALUE"""),"MBM49")</f>
        <v>MBM49</v>
      </c>
      <c r="G511" s="7" t="str">
        <f ca="1">IFERROR(__xludf.DUMMYFUNCTION("""COMPUTED_VALUE"""),"Maika Blázquez")</f>
        <v>Maika Blázquez</v>
      </c>
      <c r="R511" s="7"/>
    </row>
    <row r="512" spans="5:18">
      <c r="E512" s="7" t="str">
        <f ca="1">IFERROR(__xludf.DUMMYFUNCTION("""COMPUTED_VALUE"""),"José Enrique De Francisco Garcés")</f>
        <v>José Enrique De Francisco Garcés</v>
      </c>
      <c r="F512" s="7" t="str">
        <f ca="1">IFERROR(__xludf.DUMMYFUNCTION("""COMPUTED_VALUE"""),"LRM72")</f>
        <v>LRM72</v>
      </c>
      <c r="G512" s="7" t="str">
        <f ca="1">IFERROR(__xludf.DUMMYFUNCTION("""COMPUTED_VALUE"""),"Lisandro Russian")</f>
        <v>Lisandro Russian</v>
      </c>
      <c r="R512" s="7"/>
    </row>
    <row r="513" spans="5:18">
      <c r="E513" s="7" t="str">
        <f ca="1">IFERROR(__xludf.DUMMYFUNCTION("""COMPUTED_VALUE"""),"José Eugenio Estrada Gromaz")</f>
        <v>José Eugenio Estrada Gromaz</v>
      </c>
      <c r="F513" s="7" t="str">
        <f ca="1">IFERROR(__xludf.DUMMYFUNCTION("""COMPUTED_VALUE"""),"RPG21")</f>
        <v>RPG21</v>
      </c>
      <c r="G513" s="7" t="str">
        <f ca="1">IFERROR(__xludf.DUMMYFUNCTION("""COMPUTED_VALUE"""),"Roberto Pereira")</f>
        <v>Roberto Pereira</v>
      </c>
      <c r="R513" s="7"/>
    </row>
    <row r="514" spans="5:18">
      <c r="E514" s="7" t="str">
        <f ca="1">IFERROR(__xludf.DUMMYFUNCTION("""COMPUTED_VALUE"""),"José García Morillas")</f>
        <v>José García Morillas</v>
      </c>
      <c r="F514" s="7" t="str">
        <f ca="1">IFERROR(__xludf.DUMMYFUNCTION("""COMPUTED_VALUE"""),"ISL50")</f>
        <v>ISL50</v>
      </c>
      <c r="G514" s="7" t="str">
        <f ca="1">IFERROR(__xludf.DUMMYFUNCTION("""COMPUTED_VALUE"""),"Iván Sánchez")</f>
        <v>Iván Sánchez</v>
      </c>
      <c r="R514" s="7"/>
    </row>
    <row r="515" spans="5:18">
      <c r="E515" s="7" t="str">
        <f ca="1">IFERROR(__xludf.DUMMYFUNCTION("""COMPUTED_VALUE"""),"José Gustavo Barroso Braojos")</f>
        <v>José Gustavo Barroso Braojos</v>
      </c>
      <c r="F515" s="7" t="str">
        <f ca="1">IFERROR(__xludf.DUMMYFUNCTION("""COMPUTED_VALUE"""),"MBM50")</f>
        <v>MBM50</v>
      </c>
      <c r="G515" s="7" t="str">
        <f ca="1">IFERROR(__xludf.DUMMYFUNCTION("""COMPUTED_VALUE"""),"Maika Blázquez")</f>
        <v>Maika Blázquez</v>
      </c>
      <c r="R515" s="7"/>
    </row>
    <row r="516" spans="5:18">
      <c r="E516" s="7" t="str">
        <f ca="1">IFERROR(__xludf.DUMMYFUNCTION("""COMPUTED_VALUE"""),"José Ignacio Alfonso Collado")</f>
        <v>José Ignacio Alfonso Collado</v>
      </c>
      <c r="F516" s="7" t="str">
        <f ca="1">IFERROR(__xludf.DUMMYFUNCTION("""COMPUTED_VALUE"""),"LRM73")</f>
        <v>LRM73</v>
      </c>
      <c r="G516" s="7" t="str">
        <f ca="1">IFERROR(__xludf.DUMMYFUNCTION("""COMPUTED_VALUE"""),"Lisandro Russian")</f>
        <v>Lisandro Russian</v>
      </c>
      <c r="R516" s="7"/>
    </row>
    <row r="517" spans="5:18">
      <c r="E517" s="7" t="str">
        <f ca="1">IFERROR(__xludf.DUMMYFUNCTION("""COMPUTED_VALUE"""),"José Ignacio Tato Gómez")</f>
        <v>José Ignacio Tato Gómez</v>
      </c>
      <c r="F517" s="7" t="str">
        <f ca="1">IFERROR(__xludf.DUMMYFUNCTION("""COMPUTED_VALUE"""),"MBM51")</f>
        <v>MBM51</v>
      </c>
      <c r="G517" s="7" t="str">
        <f ca="1">IFERROR(__xludf.DUMMYFUNCTION("""COMPUTED_VALUE"""),"Maika Blázquez")</f>
        <v>Maika Blázquez</v>
      </c>
      <c r="R517" s="7"/>
    </row>
    <row r="518" spans="5:18">
      <c r="E518" s="7" t="str">
        <f ca="1">IFERROR(__xludf.DUMMYFUNCTION("""COMPUTED_VALUE"""),"José Javier Martínez Subías")</f>
        <v>José Javier Martínez Subías</v>
      </c>
      <c r="F518" s="7" t="str">
        <f ca="1">IFERROR(__xludf.DUMMYFUNCTION("""COMPUTED_VALUE"""),"LRM74")</f>
        <v>LRM74</v>
      </c>
      <c r="G518" s="7" t="str">
        <f ca="1">IFERROR(__xludf.DUMMYFUNCTION("""COMPUTED_VALUE"""),"Lisandro Russian")</f>
        <v>Lisandro Russian</v>
      </c>
      <c r="R518" s="7"/>
    </row>
    <row r="519" spans="5:18">
      <c r="E519" s="7" t="str">
        <f ca="1">IFERROR(__xludf.DUMMYFUNCTION("""COMPUTED_VALUE"""),"José Javier Rivarés Estebán")</f>
        <v>José Javier Rivarés Estebán</v>
      </c>
      <c r="F519" s="7" t="str">
        <f ca="1">IFERROR(__xludf.DUMMYFUNCTION("""COMPUTED_VALUE"""),"AMM08")</f>
        <v>AMM08</v>
      </c>
      <c r="G519" s="7" t="str">
        <f ca="1">IFERROR(__xludf.DUMMYFUNCTION("""COMPUTED_VALUE"""),"Alberto Moreno")</f>
        <v>Alberto Moreno</v>
      </c>
      <c r="R519" s="7"/>
    </row>
    <row r="520" spans="5:18">
      <c r="E520" s="7" t="str">
        <f ca="1">IFERROR(__xludf.DUMMYFUNCTION("""COMPUTED_VALUE"""),"José Joaquín Gutiérrez Barquín")</f>
        <v>José Joaquín Gutiérrez Barquín</v>
      </c>
      <c r="F520" s="7" t="str">
        <f ca="1">IFERROR(__xludf.DUMMYFUNCTION("""COMPUTED_VALUE"""),"MBM52")</f>
        <v>MBM52</v>
      </c>
      <c r="G520" s="7" t="str">
        <f ca="1">IFERROR(__xludf.DUMMYFUNCTION("""COMPUTED_VALUE"""),"Maika Blázquez")</f>
        <v>Maika Blázquez</v>
      </c>
      <c r="R520" s="7"/>
    </row>
    <row r="521" spans="5:18">
      <c r="E521" s="7" t="str">
        <f ca="1">IFERROR(__xludf.DUMMYFUNCTION("""COMPUTED_VALUE"""),"Jose Joaquín Lora Díaz")</f>
        <v>Jose Joaquín Lora Díaz</v>
      </c>
      <c r="F521" s="7" t="str">
        <f ca="1">IFERROR(__xludf.DUMMYFUNCTION("""COMPUTED_VALUE"""),"MBM53")</f>
        <v>MBM53</v>
      </c>
      <c r="G521" s="7" t="str">
        <f ca="1">IFERROR(__xludf.DUMMYFUNCTION("""COMPUTED_VALUE"""),"Maika Blázquez")</f>
        <v>Maika Blázquez</v>
      </c>
      <c r="R521" s="7"/>
    </row>
    <row r="522" spans="5:18">
      <c r="E522" s="7" t="str">
        <f ca="1">IFERROR(__xludf.DUMMYFUNCTION("""COMPUTED_VALUE"""),"José Jordán Castillo Hernández")</f>
        <v>José Jordán Castillo Hernández</v>
      </c>
      <c r="F522" s="7" t="str">
        <f ca="1">IFERROR(__xludf.DUMMYFUNCTION("""COMPUTED_VALUE"""),"LRM75")</f>
        <v>LRM75</v>
      </c>
      <c r="G522" s="7" t="str">
        <f ca="1">IFERROR(__xludf.DUMMYFUNCTION("""COMPUTED_VALUE"""),"Lisandro Russian")</f>
        <v>Lisandro Russian</v>
      </c>
      <c r="R522" s="7"/>
    </row>
    <row r="523" spans="5:18">
      <c r="E523" s="7" t="str">
        <f ca="1">IFERROR(__xludf.DUMMYFUNCTION("""COMPUTED_VALUE"""),"José Luis Batlles Medina")</f>
        <v>José Luis Batlles Medina</v>
      </c>
      <c r="F523" s="7" t="str">
        <f ca="1">IFERROR(__xludf.DUMMYFUNCTION("""COMPUTED_VALUE"""),"ISL53")</f>
        <v>ISL53</v>
      </c>
      <c r="G523" s="7" t="str">
        <f ca="1">IFERROR(__xludf.DUMMYFUNCTION("""COMPUTED_VALUE"""),"Ramon Ferrando")</f>
        <v>Ramon Ferrando</v>
      </c>
      <c r="R523" s="7"/>
    </row>
    <row r="524" spans="5:18">
      <c r="E524" s="7" t="str">
        <f ca="1">IFERROR(__xludf.DUMMYFUNCTION("""COMPUTED_VALUE"""),"José Luis Herrero Laso")</f>
        <v>José Luis Herrero Laso</v>
      </c>
      <c r="F524" s="7" t="str">
        <f ca="1">IFERROR(__xludf.DUMMYFUNCTION("""COMPUTED_VALUE"""),"RPG22")</f>
        <v>RPG22</v>
      </c>
      <c r="G524" s="7" t="str">
        <f ca="1">IFERROR(__xludf.DUMMYFUNCTION("""COMPUTED_VALUE"""),"Roberto Pereira")</f>
        <v>Roberto Pereira</v>
      </c>
      <c r="R524" s="7"/>
    </row>
    <row r="525" spans="5:18">
      <c r="E525" s="7" t="str">
        <f ca="1">IFERROR(__xludf.DUMMYFUNCTION("""COMPUTED_VALUE"""),"José Luis Lafuente De Entrambasaguas")</f>
        <v>José Luis Lafuente De Entrambasaguas</v>
      </c>
      <c r="F525" s="7" t="str">
        <f ca="1">IFERROR(__xludf.DUMMYFUNCTION("""COMPUTED_VALUE"""),"ISL51")</f>
        <v>ISL51</v>
      </c>
      <c r="G525" s="7" t="str">
        <f ca="1">IFERROR(__xludf.DUMMYFUNCTION("""COMPUTED_VALUE"""),"Iván Sánchez")</f>
        <v>Iván Sánchez</v>
      </c>
      <c r="R525" s="7"/>
    </row>
    <row r="526" spans="5:18">
      <c r="E526" s="7" t="str">
        <f ca="1">IFERROR(__xludf.DUMMYFUNCTION("""COMPUTED_VALUE"""),"José Manuel Abenia Ingalaturre")</f>
        <v>José Manuel Abenia Ingalaturre</v>
      </c>
      <c r="F526" s="7" t="str">
        <f ca="1">IFERROR(__xludf.DUMMYFUNCTION("""COMPUTED_VALUE"""),"LRM76")</f>
        <v>LRM76</v>
      </c>
      <c r="G526" s="7" t="str">
        <f ca="1">IFERROR(__xludf.DUMMYFUNCTION("""COMPUTED_VALUE"""),"Lisandro Russian")</f>
        <v>Lisandro Russian</v>
      </c>
      <c r="R526" s="7"/>
    </row>
    <row r="527" spans="5:18">
      <c r="E527" s="7" t="str">
        <f ca="1">IFERROR(__xludf.DUMMYFUNCTION("""COMPUTED_VALUE"""),"Jose Manuel Bruzon Delgado")</f>
        <v>Jose Manuel Bruzon Delgado</v>
      </c>
      <c r="F527" s="7" t="str">
        <f ca="1">IFERROR(__xludf.DUMMYFUNCTION("""COMPUTED_VALUE"""),"LRM77")</f>
        <v>LRM77</v>
      </c>
      <c r="G527" s="7" t="str">
        <f ca="1">IFERROR(__xludf.DUMMYFUNCTION("""COMPUTED_VALUE"""),"Lisandro Russian")</f>
        <v>Lisandro Russian</v>
      </c>
      <c r="R527" s="7"/>
    </row>
    <row r="528" spans="5:18">
      <c r="E528" s="7" t="str">
        <f ca="1">IFERROR(__xludf.DUMMYFUNCTION("""COMPUTED_VALUE"""),"José Manuel García Solans-Esteras")</f>
        <v>José Manuel García Solans-Esteras</v>
      </c>
      <c r="F528" s="7" t="str">
        <f ca="1">IFERROR(__xludf.DUMMYFUNCTION("""COMPUTED_VALUE"""),"LRM78")</f>
        <v>LRM78</v>
      </c>
      <c r="G528" s="7" t="str">
        <f ca="1">IFERROR(__xludf.DUMMYFUNCTION("""COMPUTED_VALUE"""),"Lisandro Russian")</f>
        <v>Lisandro Russian</v>
      </c>
      <c r="R528" s="7"/>
    </row>
    <row r="529" spans="5:18">
      <c r="E529" s="7" t="str">
        <f ca="1">IFERROR(__xludf.DUMMYFUNCTION("""COMPUTED_VALUE"""),"José Manuel Mondéjar")</f>
        <v>José Manuel Mondéjar</v>
      </c>
      <c r="F529" s="7" t="str">
        <f ca="1">IFERROR(__xludf.DUMMYFUNCTION("""COMPUTED_VALUE"""),"ISL52")</f>
        <v>ISL52</v>
      </c>
      <c r="G529" s="7" t="str">
        <f ca="1">IFERROR(__xludf.DUMMYFUNCTION("""COMPUTED_VALUE"""),"Iván Sánchez")</f>
        <v>Iván Sánchez</v>
      </c>
      <c r="R529" s="7"/>
    </row>
    <row r="530" spans="5:18">
      <c r="E530" s="7" t="str">
        <f ca="1">IFERROR(__xludf.DUMMYFUNCTION("""COMPUTED_VALUE"""),"José Manuel Morales Puebla")</f>
        <v>José Manuel Morales Puebla</v>
      </c>
      <c r="F530" s="7" t="str">
        <f ca="1">IFERROR(__xludf.DUMMYFUNCTION("""COMPUTED_VALUE"""),"LRM79")</f>
        <v>LRM79</v>
      </c>
      <c r="G530" s="7" t="str">
        <f ca="1">IFERROR(__xludf.DUMMYFUNCTION("""COMPUTED_VALUE"""),"Lisandro Russian")</f>
        <v>Lisandro Russian</v>
      </c>
      <c r="R530" s="7"/>
    </row>
    <row r="531" spans="5:18">
      <c r="E531" s="7" t="str">
        <f ca="1">IFERROR(__xludf.DUMMYFUNCTION("""COMPUTED_VALUE"""),"José Manuel Tamarit Conejeros")</f>
        <v>José Manuel Tamarit Conejeros</v>
      </c>
      <c r="F531" s="7" t="str">
        <f ca="1">IFERROR(__xludf.DUMMYFUNCTION("""COMPUTED_VALUE"""),"RFV16")</f>
        <v>RFV16</v>
      </c>
      <c r="G531" s="7" t="str">
        <f ca="1">IFERROR(__xludf.DUMMYFUNCTION("""COMPUTED_VALUE"""),"Ramon Ferrando")</f>
        <v>Ramon Ferrando</v>
      </c>
      <c r="R531" s="7"/>
    </row>
    <row r="532" spans="5:18">
      <c r="E532" s="7" t="str">
        <f ca="1">IFERROR(__xludf.DUMMYFUNCTION("""COMPUTED_VALUE"""),"José Manuel Zaragosí Castelló")</f>
        <v>José Manuel Zaragosí Castelló</v>
      </c>
      <c r="F532" s="7" t="str">
        <f ca="1">IFERROR(__xludf.DUMMYFUNCTION("""COMPUTED_VALUE"""),"ISL96")</f>
        <v>ISL96</v>
      </c>
      <c r="G532" s="7" t="str">
        <f ca="1">IFERROR(__xludf.DUMMYFUNCTION("""COMPUTED_VALUE"""),"Iván Sánchez")</f>
        <v>Iván Sánchez</v>
      </c>
      <c r="R532" s="7"/>
    </row>
    <row r="533" spans="5:18">
      <c r="E533" s="7" t="str">
        <f ca="1">IFERROR(__xludf.DUMMYFUNCTION("""COMPUTED_VALUE"""),"José María Abad Royo")</f>
        <v>José María Abad Royo</v>
      </c>
      <c r="F533" s="7" t="str">
        <f ca="1">IFERROR(__xludf.DUMMYFUNCTION("""COMPUTED_VALUE"""),"LRM80")</f>
        <v>LRM80</v>
      </c>
      <c r="G533" s="7" t="str">
        <f ca="1">IFERROR(__xludf.DUMMYFUNCTION("""COMPUTED_VALUE"""),"Lisandro Russian")</f>
        <v>Lisandro Russian</v>
      </c>
      <c r="R533" s="7"/>
    </row>
    <row r="534" spans="5:18">
      <c r="E534" s="7" t="str">
        <f ca="1">IFERROR(__xludf.DUMMYFUNCTION("""COMPUTED_VALUE"""),"José María Anda Fernández")</f>
        <v>José María Anda Fernández</v>
      </c>
      <c r="F534" s="7" t="str">
        <f ca="1">IFERROR(__xludf.DUMMYFUNCTION("""COMPUTED_VALUE"""),"AMM09")</f>
        <v>AMM09</v>
      </c>
      <c r="G534" s="7" t="str">
        <f ca="1">IFERROR(__xludf.DUMMYFUNCTION("""COMPUTED_VALUE"""),"Alberto Moreno")</f>
        <v>Alberto Moreno</v>
      </c>
      <c r="R534" s="7"/>
    </row>
    <row r="535" spans="5:18">
      <c r="E535" s="7" t="str">
        <f ca="1">IFERROR(__xludf.DUMMYFUNCTION("""COMPUTED_VALUE"""),"José María Hernández Hernández")</f>
        <v>José María Hernández Hernández</v>
      </c>
      <c r="F535" s="7" t="str">
        <f ca="1">IFERROR(__xludf.DUMMYFUNCTION("""COMPUTED_VALUE"""),"LAA27")</f>
        <v>LAA27</v>
      </c>
      <c r="G535" s="7" t="str">
        <f ca="1">IFERROR(__xludf.DUMMYFUNCTION("""COMPUTED_VALUE"""),"Luis Alberto Rodríguez")</f>
        <v>Luis Alberto Rodríguez</v>
      </c>
      <c r="R535" s="7"/>
    </row>
    <row r="536" spans="5:18">
      <c r="E536" s="7" t="str">
        <f ca="1">IFERROR(__xludf.DUMMYFUNCTION("""COMPUTED_VALUE"""),"José María Laborda Margolles")</f>
        <v>José María Laborda Margolles</v>
      </c>
      <c r="F536" s="7" t="str">
        <f ca="1">IFERROR(__xludf.DUMMYFUNCTION("""COMPUTED_VALUE"""),"ISL54")</f>
        <v>ISL54</v>
      </c>
      <c r="G536" s="7" t="str">
        <f ca="1">IFERROR(__xludf.DUMMYFUNCTION("""COMPUTED_VALUE"""),"Iván Sánchez")</f>
        <v>Iván Sánchez</v>
      </c>
      <c r="R536" s="7"/>
    </row>
    <row r="537" spans="5:18">
      <c r="E537" s="7" t="str">
        <f ca="1">IFERROR(__xludf.DUMMYFUNCTION("""COMPUTED_VALUE"""),"José María Palacios García")</f>
        <v>José María Palacios García</v>
      </c>
      <c r="F537" s="7" t="str">
        <f ca="1">IFERROR(__xludf.DUMMYFUNCTION("""COMPUTED_VALUE"""),"LAA28")</f>
        <v>LAA28</v>
      </c>
      <c r="G537" s="7" t="str">
        <f ca="1">IFERROR(__xludf.DUMMYFUNCTION("""COMPUTED_VALUE"""),"Luis Alberto Rodríguez")</f>
        <v>Luis Alberto Rodríguez</v>
      </c>
      <c r="R537" s="7"/>
    </row>
    <row r="538" spans="5:18">
      <c r="E538" s="7" t="str">
        <f ca="1">IFERROR(__xludf.DUMMYFUNCTION("""COMPUTED_VALUE"""),"Jose María Porquet Bueno")</f>
        <v>Jose María Porquet Bueno</v>
      </c>
      <c r="F538" s="7" t="str">
        <f ca="1">IFERROR(__xludf.DUMMYFUNCTION("""COMPUTED_VALUE"""),"LRM81")</f>
        <v>LRM81</v>
      </c>
      <c r="G538" s="7" t="str">
        <f ca="1">IFERROR(__xludf.DUMMYFUNCTION("""COMPUTED_VALUE"""),"Lisandro Russian")</f>
        <v>Lisandro Russian</v>
      </c>
      <c r="R538" s="7"/>
    </row>
    <row r="539" spans="5:18">
      <c r="E539" s="7" t="str">
        <f ca="1">IFERROR(__xludf.DUMMYFUNCTION("""COMPUTED_VALUE"""),"José María Relanzón López")</f>
        <v>José María Relanzón López</v>
      </c>
      <c r="F539" s="7" t="str">
        <f ca="1">IFERROR(__xludf.DUMMYFUNCTION("""COMPUTED_VALUE"""),"MBM54")</f>
        <v>MBM54</v>
      </c>
      <c r="G539" s="7" t="str">
        <f ca="1">IFERROR(__xludf.DUMMYFUNCTION("""COMPUTED_VALUE"""),"Maika Blázquez")</f>
        <v>Maika Blázquez</v>
      </c>
      <c r="R539" s="7"/>
    </row>
    <row r="540" spans="5:18">
      <c r="E540" s="7" t="str">
        <f ca="1">IFERROR(__xludf.DUMMYFUNCTION("""COMPUTED_VALUE"""),"José Mauri Barberá")</f>
        <v>José Mauri Barberá</v>
      </c>
      <c r="F540" s="7" t="str">
        <f ca="1">IFERROR(__xludf.DUMMYFUNCTION("""COMPUTED_VALUE"""),"ISL55")</f>
        <v>ISL55</v>
      </c>
      <c r="G540" s="7" t="str">
        <f ca="1">IFERROR(__xludf.DUMMYFUNCTION("""COMPUTED_VALUE"""),"Iván Sánchez")</f>
        <v>Iván Sánchez</v>
      </c>
      <c r="R540" s="7"/>
    </row>
    <row r="541" spans="5:18">
      <c r="E541" s="7" t="str">
        <f ca="1">IFERROR(__xludf.DUMMYFUNCTION("""COMPUTED_VALUE"""),"José Miguel Aparicio Fernández")</f>
        <v>José Miguel Aparicio Fernández</v>
      </c>
      <c r="F541" s="7" t="str">
        <f ca="1">IFERROR(__xludf.DUMMYFUNCTION("""COMPUTED_VALUE"""),"LRM82")</f>
        <v>LRM82</v>
      </c>
      <c r="G541" s="7" t="str">
        <f ca="1">IFERROR(__xludf.DUMMYFUNCTION("""COMPUTED_VALUE"""),"Lisandro Russian")</f>
        <v>Lisandro Russian</v>
      </c>
      <c r="R541" s="7"/>
    </row>
    <row r="542" spans="5:18">
      <c r="E542" s="7" t="str">
        <f ca="1">IFERROR(__xludf.DUMMYFUNCTION("""COMPUTED_VALUE"""),"José Miguel Costa González")</f>
        <v>José Miguel Costa González</v>
      </c>
      <c r="F542" s="7" t="str">
        <f ca="1">IFERROR(__xludf.DUMMYFUNCTION("""COMPUTED_VALUE"""),"RPG23")</f>
        <v>RPG23</v>
      </c>
      <c r="G542" s="7" t="str">
        <f ca="1">IFERROR(__xludf.DUMMYFUNCTION("""COMPUTED_VALUE"""),"Roberto Pereira")</f>
        <v>Roberto Pereira</v>
      </c>
      <c r="R542" s="7"/>
    </row>
    <row r="543" spans="5:18">
      <c r="E543" s="7" t="str">
        <f ca="1">IFERROR(__xludf.DUMMYFUNCTION("""COMPUTED_VALUE"""),"José Miguel Osete Albaladejo")</f>
        <v>José Miguel Osete Albaladejo</v>
      </c>
      <c r="F543" s="7" t="str">
        <f ca="1">IFERROR(__xludf.DUMMYFUNCTION("""COMPUTED_VALUE"""),"ISL56")</f>
        <v>ISL56</v>
      </c>
      <c r="G543" s="7" t="str">
        <f ca="1">IFERROR(__xludf.DUMMYFUNCTION("""COMPUTED_VALUE"""),"Iván Sánchez")</f>
        <v>Iván Sánchez</v>
      </c>
      <c r="R543" s="7"/>
    </row>
    <row r="544" spans="5:18">
      <c r="E544" s="7" t="str">
        <f ca="1">IFERROR(__xludf.DUMMYFUNCTION("""COMPUTED_VALUE"""),"José Miguel Sebastián Cortés")</f>
        <v>José Miguel Sebastián Cortés</v>
      </c>
      <c r="F544" s="7" t="str">
        <f ca="1">IFERROR(__xludf.DUMMYFUNCTION("""COMPUTED_VALUE"""),"LRM83")</f>
        <v>LRM83</v>
      </c>
      <c r="G544" s="7" t="str">
        <f ca="1">IFERROR(__xludf.DUMMYFUNCTION("""COMPUTED_VALUE"""),"Lisandro Russian")</f>
        <v>Lisandro Russian</v>
      </c>
      <c r="R544" s="7"/>
    </row>
    <row r="545" spans="5:18">
      <c r="E545" s="7" t="str">
        <f ca="1">IFERROR(__xludf.DUMMYFUNCTION("""COMPUTED_VALUE"""),"José Miguel Tejada Bautista")</f>
        <v>José Miguel Tejada Bautista</v>
      </c>
      <c r="F545" s="7" t="str">
        <f ca="1">IFERROR(__xludf.DUMMYFUNCTION("""COMPUTED_VALUE"""),"LRM84")</f>
        <v>LRM84</v>
      </c>
      <c r="G545" s="7" t="str">
        <f ca="1">IFERROR(__xludf.DUMMYFUNCTION("""COMPUTED_VALUE"""),"Lisandro Russian")</f>
        <v>Lisandro Russian</v>
      </c>
      <c r="R545" s="7"/>
    </row>
    <row r="546" spans="5:18">
      <c r="E546" s="7" t="str">
        <f ca="1">IFERROR(__xludf.DUMMYFUNCTION("""COMPUTED_VALUE"""),"José Millán Guevara")</f>
        <v>José Millán Guevara</v>
      </c>
      <c r="F546" s="7" t="str">
        <f ca="1">IFERROR(__xludf.DUMMYFUNCTION("""COMPUTED_VALUE"""),"LRM85")</f>
        <v>LRM85</v>
      </c>
      <c r="G546" s="7" t="str">
        <f ca="1">IFERROR(__xludf.DUMMYFUNCTION("""COMPUTED_VALUE"""),"Lisandro Russian")</f>
        <v>Lisandro Russian</v>
      </c>
      <c r="R546" s="7"/>
    </row>
    <row r="547" spans="5:18">
      <c r="E547" s="7" t="str">
        <f ca="1">IFERROR(__xludf.DUMMYFUNCTION("""COMPUTED_VALUE"""),"José Montalt Marco")</f>
        <v>José Montalt Marco</v>
      </c>
      <c r="F547" s="7" t="str">
        <f ca="1">IFERROR(__xludf.DUMMYFUNCTION("""COMPUTED_VALUE"""),"RFV17")</f>
        <v>RFV17</v>
      </c>
      <c r="G547" s="7" t="str">
        <f ca="1">IFERROR(__xludf.DUMMYFUNCTION("""COMPUTED_VALUE"""),"Ramon Ferrando")</f>
        <v>Ramon Ferrando</v>
      </c>
      <c r="R547" s="7"/>
    </row>
    <row r="548" spans="5:18">
      <c r="E548" s="7" t="str">
        <f ca="1">IFERROR(__xludf.DUMMYFUNCTION("""COMPUTED_VALUE"""),"José Montojo Woodeson")</f>
        <v>José Montojo Woodeson</v>
      </c>
      <c r="F548" s="7" t="str">
        <f ca="1">IFERROR(__xludf.DUMMYFUNCTION("""COMPUTED_VALUE"""),"MBM55")</f>
        <v>MBM55</v>
      </c>
      <c r="G548" s="7" t="str">
        <f ca="1">IFERROR(__xludf.DUMMYFUNCTION("""COMPUTED_VALUE"""),"Maika Blázquez")</f>
        <v>Maika Blázquez</v>
      </c>
      <c r="R548" s="7"/>
    </row>
    <row r="549" spans="5:18">
      <c r="E549" s="7" t="str">
        <f ca="1">IFERROR(__xludf.DUMMYFUNCTION("""COMPUTED_VALUE"""),"José Ramiro De León Lima")</f>
        <v>José Ramiro De León Lima</v>
      </c>
      <c r="F549" s="7" t="str">
        <f ca="1">IFERROR(__xludf.DUMMYFUNCTION("""COMPUTED_VALUE"""),"RFV11")</f>
        <v>RFV11</v>
      </c>
      <c r="G549" s="7" t="str">
        <f ca="1">IFERROR(__xludf.DUMMYFUNCTION("""COMPUTED_VALUE"""),"Ramon Ferrando")</f>
        <v>Ramon Ferrando</v>
      </c>
      <c r="R549" s="7"/>
    </row>
    <row r="550" spans="5:18">
      <c r="E550" s="7" t="str">
        <f ca="1">IFERROR(__xludf.DUMMYFUNCTION("""COMPUTED_VALUE"""),"José Ruiz Coello Moratalla")</f>
        <v>José Ruiz Coello Moratalla</v>
      </c>
      <c r="F550" s="7" t="str">
        <f ca="1">IFERROR(__xludf.DUMMYFUNCTION("""COMPUTED_VALUE"""),"RFV04")</f>
        <v>RFV04</v>
      </c>
      <c r="G550" s="7" t="str">
        <f ca="1">IFERROR(__xludf.DUMMYFUNCTION("""COMPUTED_VALUE"""),"Ramon Ferrando")</f>
        <v>Ramon Ferrando</v>
      </c>
      <c r="R550" s="7"/>
    </row>
    <row r="551" spans="5:18">
      <c r="E551" s="7" t="str">
        <f ca="1">IFERROR(__xludf.DUMMYFUNCTION("""COMPUTED_VALUE"""),"José Salazar Clavijo")</f>
        <v>José Salazar Clavijo</v>
      </c>
      <c r="F551" s="7" t="str">
        <f ca="1">IFERROR(__xludf.DUMMYFUNCTION("""COMPUTED_VALUE"""),"MCC22")</f>
        <v>MCC22</v>
      </c>
      <c r="G551" s="7" t="str">
        <f ca="1">IFERROR(__xludf.DUMMYFUNCTION("""COMPUTED_VALUE"""),"Mercè Cabrera")</f>
        <v>Mercè Cabrera</v>
      </c>
      <c r="R551" s="7"/>
    </row>
    <row r="552" spans="5:18">
      <c r="E552" s="7" t="str">
        <f ca="1">IFERROR(__xludf.DUMMYFUNCTION("""COMPUTED_VALUE"""),"José Santiago Prieto Gutiérrez")</f>
        <v>José Santiago Prieto Gutiérrez</v>
      </c>
      <c r="F552" s="7" t="str">
        <f ca="1">IFERROR(__xludf.DUMMYFUNCTION("""COMPUTED_VALUE"""),"AMM24")</f>
        <v>AMM24</v>
      </c>
      <c r="G552" s="7" t="str">
        <f ca="1">IFERROR(__xludf.DUMMYFUNCTION("""COMPUTED_VALUE"""),"Alberto Moreno")</f>
        <v>Alberto Moreno</v>
      </c>
      <c r="R552" s="7"/>
    </row>
    <row r="553" spans="5:18">
      <c r="E553" s="7" t="str">
        <f ca="1">IFERROR(__xludf.DUMMYFUNCTION("""COMPUTED_VALUE"""),"José Sebastián Cortés")</f>
        <v>José Sebastián Cortés</v>
      </c>
      <c r="F553" s="7" t="str">
        <f ca="1">IFERROR(__xludf.DUMMYFUNCTION("""COMPUTED_VALUE"""),"LRM86")</f>
        <v>LRM86</v>
      </c>
      <c r="G553" s="7" t="str">
        <f ca="1">IFERROR(__xludf.DUMMYFUNCTION("""COMPUTED_VALUE"""),"Lisandro Russian")</f>
        <v>Lisandro Russian</v>
      </c>
      <c r="R553" s="7"/>
    </row>
    <row r="554" spans="5:18">
      <c r="E554" s="7" t="str">
        <f ca="1">IFERROR(__xludf.DUMMYFUNCTION("""COMPUTED_VALUE"""),"Jose Suazo Díaz-Recio")</f>
        <v>Jose Suazo Díaz-Recio</v>
      </c>
      <c r="F554" s="7" t="str">
        <f ca="1">IFERROR(__xludf.DUMMYFUNCTION("""COMPUTED_VALUE"""),"LRM87")</f>
        <v>LRM87</v>
      </c>
      <c r="G554" s="7" t="str">
        <f ca="1">IFERROR(__xludf.DUMMYFUNCTION("""COMPUTED_VALUE"""),"Lisandro Russian")</f>
        <v>Lisandro Russian</v>
      </c>
      <c r="R554" s="7"/>
    </row>
    <row r="555" spans="5:18">
      <c r="E555" s="7" t="str">
        <f ca="1">IFERROR(__xludf.DUMMYFUNCTION("""COMPUTED_VALUE"""),"José Víctor Tisner Nieto")</f>
        <v>José Víctor Tisner Nieto</v>
      </c>
      <c r="F555" s="7" t="str">
        <f ca="1">IFERROR(__xludf.DUMMYFUNCTION("""COMPUTED_VALUE"""),"LRM88")</f>
        <v>LRM88</v>
      </c>
      <c r="G555" s="7" t="str">
        <f ca="1">IFERROR(__xludf.DUMMYFUNCTION("""COMPUTED_VALUE"""),"Lisandro Russian")</f>
        <v>Lisandro Russian</v>
      </c>
      <c r="R555" s="7"/>
    </row>
    <row r="556" spans="5:18">
      <c r="E556" s="7" t="str">
        <f ca="1">IFERROR(__xludf.DUMMYFUNCTION("""COMPUTED_VALUE"""),"Josefa Alonso Sánchez")</f>
        <v>Josefa Alonso Sánchez</v>
      </c>
      <c r="F556" s="7" t="str">
        <f ca="1">IFERROR(__xludf.DUMMYFUNCTION("""COMPUTED_VALUE"""),"LRM168")</f>
        <v>LRM168</v>
      </c>
      <c r="G556" s="7" t="str">
        <f ca="1">IFERROR(__xludf.DUMMYFUNCTION("""COMPUTED_VALUE"""),"Lisandro Russian")</f>
        <v>Lisandro Russian</v>
      </c>
      <c r="R556" s="7"/>
    </row>
    <row r="557" spans="5:18">
      <c r="E557" s="7" t="str">
        <f ca="1">IFERROR(__xludf.DUMMYFUNCTION("""COMPUTED_VALUE"""),"Josefa Olmedo Martínez")</f>
        <v>Josefa Olmedo Martínez</v>
      </c>
      <c r="F557" s="7" t="str">
        <f ca="1">IFERROR(__xludf.DUMMYFUNCTION("""COMPUTED_VALUE"""),"LAA50")</f>
        <v>LAA50</v>
      </c>
      <c r="G557" s="7" t="str">
        <f ca="1">IFERROR(__xludf.DUMMYFUNCTION("""COMPUTED_VALUE"""),"Luis Alberto Rodríguez")</f>
        <v>Luis Alberto Rodríguez</v>
      </c>
      <c r="R557" s="7"/>
    </row>
    <row r="558" spans="5:18">
      <c r="E558" s="7" t="str">
        <f ca="1">IFERROR(__xludf.DUMMYFUNCTION("""COMPUTED_VALUE"""),"Josep Maria Orrit Arenas")</f>
        <v>Josep Maria Orrit Arenas</v>
      </c>
      <c r="F558" s="7" t="str">
        <f ca="1">IFERROR(__xludf.DUMMYFUNCTION("""COMPUTED_VALUE"""),"MCC23")</f>
        <v>MCC23</v>
      </c>
      <c r="G558" s="7" t="str">
        <f ca="1">IFERROR(__xludf.DUMMYFUNCTION("""COMPUTED_VALUE"""),"Mercè Cabrera")</f>
        <v>Mercè Cabrera</v>
      </c>
      <c r="R558" s="7"/>
    </row>
    <row r="559" spans="5:18">
      <c r="E559" s="7" t="str">
        <f ca="1">IFERROR(__xludf.DUMMYFUNCTION("""COMPUTED_VALUE"""),"Juan Antonio Pasamontes Pingarrón")</f>
        <v>Juan Antonio Pasamontes Pingarrón</v>
      </c>
      <c r="F559" s="7" t="str">
        <f ca="1">IFERROR(__xludf.DUMMYFUNCTION("""COMPUTED_VALUE"""),"MBM56")</f>
        <v>MBM56</v>
      </c>
      <c r="G559" s="7" t="str">
        <f ca="1">IFERROR(__xludf.DUMMYFUNCTION("""COMPUTED_VALUE"""),"Maika Blázquez")</f>
        <v>Maika Blázquez</v>
      </c>
      <c r="R559" s="7"/>
    </row>
    <row r="560" spans="5:18">
      <c r="E560" s="7" t="str">
        <f ca="1">IFERROR(__xludf.DUMMYFUNCTION("""COMPUTED_VALUE"""),"Juan Carlos Del Pozo de Dios")</f>
        <v>Juan Carlos Del Pozo de Dios</v>
      </c>
      <c r="F560" s="7" t="str">
        <f ca="1">IFERROR(__xludf.DUMMYFUNCTION("""COMPUTED_VALUE"""),"PSC17")</f>
        <v>PSC17</v>
      </c>
      <c r="G560" s="7" t="str">
        <f ca="1">IFERROR(__xludf.DUMMYFUNCTION("""COMPUTED_VALUE"""),"Patricia Solache")</f>
        <v>Patricia Solache</v>
      </c>
      <c r="R560" s="7"/>
    </row>
    <row r="561" spans="5:18">
      <c r="E561" s="7" t="str">
        <f ca="1">IFERROR(__xludf.DUMMYFUNCTION("""COMPUTED_VALUE"""),"Juan Carlos Ruiz Galarreta")</f>
        <v>Juan Carlos Ruiz Galarreta</v>
      </c>
      <c r="F561" s="7" t="str">
        <f ca="1">IFERROR(__xludf.DUMMYFUNCTION("""COMPUTED_VALUE"""),"AMM10")</f>
        <v>AMM10</v>
      </c>
      <c r="G561" s="7" t="str">
        <f ca="1">IFERROR(__xludf.DUMMYFUNCTION("""COMPUTED_VALUE"""),"Alberto Moreno")</f>
        <v>Alberto Moreno</v>
      </c>
      <c r="R561" s="7"/>
    </row>
    <row r="562" spans="5:18">
      <c r="E562" s="7" t="str">
        <f ca="1">IFERROR(__xludf.DUMMYFUNCTION("""COMPUTED_VALUE"""),"Juan David Lara Lozano")</f>
        <v>Juan David Lara Lozano</v>
      </c>
      <c r="F562" s="7" t="str">
        <f ca="1">IFERROR(__xludf.DUMMYFUNCTION("""COMPUTED_VALUE"""),"ISL57")</f>
        <v>ISL57</v>
      </c>
      <c r="G562" s="7" t="str">
        <f ca="1">IFERROR(__xludf.DUMMYFUNCTION("""COMPUTED_VALUE"""),"Iván Sánchez")</f>
        <v>Iván Sánchez</v>
      </c>
      <c r="R562" s="7"/>
    </row>
    <row r="563" spans="5:18">
      <c r="E563" s="7" t="str">
        <f ca="1">IFERROR(__xludf.DUMMYFUNCTION("""COMPUTED_VALUE"""),"Juan de Dios De La Calzada")</f>
        <v>Juan de Dios De La Calzada</v>
      </c>
      <c r="F563" s="7" t="str">
        <f ca="1">IFERROR(__xludf.DUMMYFUNCTION("""COMPUTED_VALUE"""),"MBM57")</f>
        <v>MBM57</v>
      </c>
      <c r="G563" s="7" t="str">
        <f ca="1">IFERROR(__xludf.DUMMYFUNCTION("""COMPUTED_VALUE"""),"Maika Blázquez")</f>
        <v>Maika Blázquez</v>
      </c>
      <c r="R563" s="7"/>
    </row>
    <row r="564" spans="5:18">
      <c r="E564" s="7" t="str">
        <f ca="1">IFERROR(__xludf.DUMMYFUNCTION("""COMPUTED_VALUE"""),"Juan Fernando Fuentes Cabrera")</f>
        <v>Juan Fernando Fuentes Cabrera</v>
      </c>
      <c r="F564" s="7" t="str">
        <f ca="1">IFERROR(__xludf.DUMMYFUNCTION("""COMPUTED_VALUE"""),"MCC24")</f>
        <v>MCC24</v>
      </c>
      <c r="G564" s="7" t="str">
        <f ca="1">IFERROR(__xludf.DUMMYFUNCTION("""COMPUTED_VALUE"""),"Mercè Cabrera")</f>
        <v>Mercè Cabrera</v>
      </c>
      <c r="R564" s="7"/>
    </row>
    <row r="565" spans="5:18">
      <c r="E565" s="7" t="str">
        <f ca="1">IFERROR(__xludf.DUMMYFUNCTION("""COMPUTED_VALUE"""),"Juan Fernando Fuentes Rolao")</f>
        <v>Juan Fernando Fuentes Rolao</v>
      </c>
      <c r="F565" s="7" t="str">
        <f ca="1">IFERROR(__xludf.DUMMYFUNCTION("""COMPUTED_VALUE"""),"MCC25")</f>
        <v>MCC25</v>
      </c>
      <c r="G565" s="7" t="str">
        <f ca="1">IFERROR(__xludf.DUMMYFUNCTION("""COMPUTED_VALUE"""),"Mercè Cabrera")</f>
        <v>Mercè Cabrera</v>
      </c>
      <c r="R565" s="7"/>
    </row>
    <row r="566" spans="5:18">
      <c r="E566" s="7" t="str">
        <f ca="1">IFERROR(__xludf.DUMMYFUNCTION("""COMPUTED_VALUE"""),"Juan Gómez Ullate")</f>
        <v>Juan Gómez Ullate</v>
      </c>
      <c r="F566" s="7" t="str">
        <f ca="1">IFERROR(__xludf.DUMMYFUNCTION("""COMPUTED_VALUE"""),"MBM58")</f>
        <v>MBM58</v>
      </c>
      <c r="G566" s="7" t="str">
        <f ca="1">IFERROR(__xludf.DUMMYFUNCTION("""COMPUTED_VALUE"""),"Maika Blázquez")</f>
        <v>Maika Blázquez</v>
      </c>
      <c r="R566" s="7"/>
    </row>
    <row r="567" spans="5:18">
      <c r="E567" s="7" t="str">
        <f ca="1">IFERROR(__xludf.DUMMYFUNCTION("""COMPUTED_VALUE"""),"juan Ignacio Riestra Ayora")</f>
        <v>juan Ignacio Riestra Ayora</v>
      </c>
      <c r="F567" s="7" t="str">
        <f ca="1">IFERROR(__xludf.DUMMYFUNCTION("""COMPUTED_VALUE"""),"MBM60")</f>
        <v>MBM60</v>
      </c>
      <c r="G567" s="7" t="str">
        <f ca="1">IFERROR(__xludf.DUMMYFUNCTION("""COMPUTED_VALUE"""),"Maika Blázquez")</f>
        <v>Maika Blázquez</v>
      </c>
      <c r="R567" s="7"/>
    </row>
    <row r="568" spans="5:18">
      <c r="E568" s="7" t="str">
        <f ca="1">IFERROR(__xludf.DUMMYFUNCTION("""COMPUTED_VALUE"""),"Juan Javier Álvarez López")</f>
        <v>Juan Javier Álvarez López</v>
      </c>
      <c r="F568" s="7" t="str">
        <f ca="1">IFERROR(__xludf.DUMMYFUNCTION("""COMPUTED_VALUE"""),"ISL58")</f>
        <v>ISL58</v>
      </c>
      <c r="G568" s="7" t="str">
        <f ca="1">IFERROR(__xludf.DUMMYFUNCTION("""COMPUTED_VALUE"""),"Iván Sánchez")</f>
        <v>Iván Sánchez</v>
      </c>
      <c r="R568" s="7"/>
    </row>
    <row r="569" spans="5:18">
      <c r="E569" s="7" t="str">
        <f ca="1">IFERROR(__xludf.DUMMYFUNCTION("""COMPUTED_VALUE"""),"Juan José Campo Biosca")</f>
        <v>Juan José Campo Biosca</v>
      </c>
      <c r="F569" s="7" t="str">
        <f ca="1">IFERROR(__xludf.DUMMYFUNCTION("""COMPUTED_VALUE"""),"MBM59")</f>
        <v>MBM59</v>
      </c>
      <c r="G569" s="7" t="str">
        <f ca="1">IFERROR(__xludf.DUMMYFUNCTION("""COMPUTED_VALUE"""),"Maika Blázquez")</f>
        <v>Maika Blázquez</v>
      </c>
      <c r="R569" s="7"/>
    </row>
    <row r="570" spans="5:18">
      <c r="E570" s="7" t="str">
        <f ca="1">IFERROR(__xludf.DUMMYFUNCTION("""COMPUTED_VALUE"""),"Juan José Sanz González")</f>
        <v>Juan José Sanz González</v>
      </c>
      <c r="F570" s="7" t="str">
        <f ca="1">IFERROR(__xludf.DUMMYFUNCTION("""COMPUTED_VALUE"""),"MCC26")</f>
        <v>MCC26</v>
      </c>
      <c r="G570" s="7" t="str">
        <f ca="1">IFERROR(__xludf.DUMMYFUNCTION("""COMPUTED_VALUE"""),"Mercè Cabrera")</f>
        <v>Mercè Cabrera</v>
      </c>
      <c r="R570" s="7"/>
    </row>
    <row r="571" spans="5:18">
      <c r="E571" s="7" t="str">
        <f ca="1">IFERROR(__xludf.DUMMYFUNCTION("""COMPUTED_VALUE"""),"Juan Jose Tavarez Rodríguez")</f>
        <v>Juan Jose Tavarez Rodríguez</v>
      </c>
      <c r="F571" s="7" t="str">
        <f ca="1">IFERROR(__xludf.DUMMYFUNCTION("""COMPUTED_VALUE"""),"PSC18")</f>
        <v>PSC18</v>
      </c>
      <c r="G571" s="7" t="str">
        <f ca="1">IFERROR(__xludf.DUMMYFUNCTION("""COMPUTED_VALUE"""),"Patricia Solache")</f>
        <v>Patricia Solache</v>
      </c>
      <c r="R571" s="7"/>
    </row>
    <row r="572" spans="5:18">
      <c r="E572" s="7" t="str">
        <f ca="1">IFERROR(__xludf.DUMMYFUNCTION("""COMPUTED_VALUE"""),"Juan José Tavarez Rodríguez")</f>
        <v>Juan José Tavarez Rodríguez</v>
      </c>
      <c r="F572" s="7" t="str">
        <f ca="1">IFERROR(__xludf.DUMMYFUNCTION("""COMPUTED_VALUE"""),"PSC60")</f>
        <v>PSC60</v>
      </c>
      <c r="G572" s="7" t="str">
        <f ca="1">IFERROR(__xludf.DUMMYFUNCTION("""COMPUTED_VALUE"""),"Patricia Solache")</f>
        <v>Patricia Solache</v>
      </c>
      <c r="R572" s="7"/>
    </row>
    <row r="573" spans="5:18">
      <c r="E573" s="7" t="str">
        <f ca="1">IFERROR(__xludf.DUMMYFUNCTION("""COMPUTED_VALUE"""),"Juan Latorre López")</f>
        <v>Juan Latorre López</v>
      </c>
      <c r="F573" s="7" t="str">
        <f ca="1">IFERROR(__xludf.DUMMYFUNCTION("""COMPUTED_VALUE"""),"RPG24")</f>
        <v>RPG24</v>
      </c>
      <c r="G573" s="7" t="str">
        <f ca="1">IFERROR(__xludf.DUMMYFUNCTION("""COMPUTED_VALUE"""),"Roberto Pereira")</f>
        <v>Roberto Pereira</v>
      </c>
      <c r="R573" s="7"/>
    </row>
    <row r="574" spans="5:18">
      <c r="E574" s="7" t="str">
        <f ca="1">IFERROR(__xludf.DUMMYFUNCTION("""COMPUTED_VALUE"""),"Juan Losada Campa")</f>
        <v>Juan Losada Campa</v>
      </c>
      <c r="F574" s="7" t="str">
        <f ca="1">IFERROR(__xludf.DUMMYFUNCTION("""COMPUTED_VALUE"""),"PSC19")</f>
        <v>PSC19</v>
      </c>
      <c r="G574" s="7" t="str">
        <f ca="1">IFERROR(__xludf.DUMMYFUNCTION("""COMPUTED_VALUE"""),"Patricia Solache")</f>
        <v>Patricia Solache</v>
      </c>
      <c r="R574" s="7"/>
    </row>
    <row r="575" spans="5:18">
      <c r="E575" s="7" t="str">
        <f ca="1">IFERROR(__xludf.DUMMYFUNCTION("""COMPUTED_VALUE"""),"Juan Manuel Maza Solano")</f>
        <v>Juan Manuel Maza Solano</v>
      </c>
      <c r="F575" s="7" t="str">
        <f ca="1">IFERROR(__xludf.DUMMYFUNCTION("""COMPUTED_VALUE"""),"LAA64")</f>
        <v>LAA64</v>
      </c>
      <c r="G575" s="7" t="str">
        <f ca="1">IFERROR(__xludf.DUMMYFUNCTION("""COMPUTED_VALUE"""),"Luis Alberto Rodríguez")</f>
        <v>Luis Alberto Rodríguez</v>
      </c>
      <c r="R575" s="7"/>
    </row>
    <row r="576" spans="5:18">
      <c r="E576" s="7" t="str">
        <f ca="1">IFERROR(__xludf.DUMMYFUNCTION("""COMPUTED_VALUE"""),"Juan Maza Solano")</f>
        <v>Juan Maza Solano</v>
      </c>
      <c r="F576" s="7" t="str">
        <f ca="1">IFERROR(__xludf.DUMMYFUNCTION("""COMPUTED_VALUE"""),"LAA65")</f>
        <v>LAA65</v>
      </c>
      <c r="G576" s="7" t="str">
        <f ca="1">IFERROR(__xludf.DUMMYFUNCTION("""COMPUTED_VALUE"""),"Luis Alberto Rodríguez")</f>
        <v>Luis Alberto Rodríguez</v>
      </c>
      <c r="R576" s="7"/>
    </row>
    <row r="577" spans="5:18">
      <c r="E577" s="7" t="str">
        <f ca="1">IFERROR(__xludf.DUMMYFUNCTION("""COMPUTED_VALUE"""),"Juan Miguel jiménez Morales")</f>
        <v>Juan Miguel jiménez Morales</v>
      </c>
      <c r="F577" s="7" t="str">
        <f ca="1">IFERROR(__xludf.DUMMYFUNCTION("""COMPUTED_VALUE"""),"LAA29")</f>
        <v>LAA29</v>
      </c>
      <c r="G577" s="7" t="str">
        <f ca="1">IFERROR(__xludf.DUMMYFUNCTION("""COMPUTED_VALUE"""),"Luis Alberto Rodríguez")</f>
        <v>Luis Alberto Rodríguez</v>
      </c>
      <c r="R577" s="7"/>
    </row>
    <row r="578" spans="5:18">
      <c r="E578" s="7" t="str">
        <f ca="1">IFERROR(__xludf.DUMMYFUNCTION("""COMPUTED_VALUE"""),"Juan Pablo Pelegrín Hernández")</f>
        <v>Juan Pablo Pelegrín Hernández</v>
      </c>
      <c r="F578" s="7" t="str">
        <f ca="1">IFERROR(__xludf.DUMMYFUNCTION("""COMPUTED_VALUE"""),"ISL59")</f>
        <v>ISL59</v>
      </c>
      <c r="G578" s="7" t="str">
        <f ca="1">IFERROR(__xludf.DUMMYFUNCTION("""COMPUTED_VALUE"""),"Iván Sánchez")</f>
        <v>Iván Sánchez</v>
      </c>
      <c r="R578" s="7"/>
    </row>
    <row r="579" spans="5:18">
      <c r="E579" s="7" t="str">
        <f ca="1">IFERROR(__xludf.DUMMYFUNCTION("""COMPUTED_VALUE"""),"Juan Pablo Rodrigo Tapia")</f>
        <v>Juan Pablo Rodrigo Tapia</v>
      </c>
      <c r="F579" s="7" t="str">
        <f ca="1">IFERROR(__xludf.DUMMYFUNCTION("""COMPUTED_VALUE"""),"PSC20")</f>
        <v>PSC20</v>
      </c>
      <c r="G579" s="7" t="str">
        <f ca="1">IFERROR(__xludf.DUMMYFUNCTION("""COMPUTED_VALUE"""),"Patricia Solache")</f>
        <v>Patricia Solache</v>
      </c>
      <c r="R579" s="7"/>
    </row>
    <row r="580" spans="5:18">
      <c r="E580" s="7" t="str">
        <f ca="1">IFERROR(__xludf.DUMMYFUNCTION("""COMPUTED_VALUE"""),"Juan Pedro Benaixa")</f>
        <v>Juan Pedro Benaixa</v>
      </c>
      <c r="F580" s="7" t="str">
        <f ca="1">IFERROR(__xludf.DUMMYFUNCTION("""COMPUTED_VALUE"""),"LAA30")</f>
        <v>LAA30</v>
      </c>
      <c r="G580" s="7" t="str">
        <f ca="1">IFERROR(__xludf.DUMMYFUNCTION("""COMPUTED_VALUE"""),"Luis Alberto Rodríguez")</f>
        <v>Luis Alberto Rodríguez</v>
      </c>
      <c r="R580" s="7"/>
    </row>
    <row r="581" spans="5:18">
      <c r="E581" s="7" t="str">
        <f ca="1">IFERROR(__xludf.DUMMYFUNCTION("""COMPUTED_VALUE"""),"Juan Pedro Rubio Rodríguez")</f>
        <v>Juan Pedro Rubio Rodríguez</v>
      </c>
      <c r="F581" s="7" t="str">
        <f ca="1">IFERROR(__xludf.DUMMYFUNCTION("""COMPUTED_VALUE"""),"RPG25")</f>
        <v>RPG25</v>
      </c>
      <c r="G581" s="7" t="str">
        <f ca="1">IFERROR(__xludf.DUMMYFUNCTION("""COMPUTED_VALUE"""),"Roberto Pereira")</f>
        <v>Roberto Pereira</v>
      </c>
      <c r="R581" s="7"/>
    </row>
    <row r="582" spans="5:18">
      <c r="E582" s="7" t="str">
        <f ca="1">IFERROR(__xludf.DUMMYFUNCTION("""COMPUTED_VALUE"""),"Juan Ramón Paredes Osado")</f>
        <v>Juan Ramón Paredes Osado</v>
      </c>
      <c r="F582" s="7" t="str">
        <f ca="1">IFERROR(__xludf.DUMMYFUNCTION("""COMPUTED_VALUE"""),"ISL60")</f>
        <v>ISL60</v>
      </c>
      <c r="G582" s="7" t="str">
        <f ca="1">IFERROR(__xludf.DUMMYFUNCTION("""COMPUTED_VALUE"""),"Iván Sánchez")</f>
        <v>Iván Sánchez</v>
      </c>
      <c r="R582" s="7"/>
    </row>
    <row r="583" spans="5:18">
      <c r="E583" s="7" t="str">
        <f ca="1">IFERROR(__xludf.DUMMYFUNCTION("""COMPUTED_VALUE"""),"Juan Riestra Ayora")</f>
        <v>Juan Riestra Ayora</v>
      </c>
      <c r="F583" s="7" t="str">
        <f ca="1">IFERROR(__xludf.DUMMYFUNCTION("""COMPUTED_VALUE"""),"LRM272")</f>
        <v>LRM272</v>
      </c>
      <c r="G583" s="7" t="str">
        <f ca="1">IFERROR(__xludf.DUMMYFUNCTION("""COMPUTED_VALUE"""),"Lisandro Russian")</f>
        <v>Lisandro Russian</v>
      </c>
      <c r="R583" s="7"/>
    </row>
    <row r="584" spans="5:18">
      <c r="E584" s="7" t="str">
        <f ca="1">IFERROR(__xludf.DUMMYFUNCTION("""COMPUTED_VALUE"""),"Juan Royo López")</f>
        <v>Juan Royo López</v>
      </c>
      <c r="F584" s="7" t="str">
        <f ca="1">IFERROR(__xludf.DUMMYFUNCTION("""COMPUTED_VALUE"""),"LRM89")</f>
        <v>LRM89</v>
      </c>
      <c r="G584" s="7" t="str">
        <f ca="1">IFERROR(__xludf.DUMMYFUNCTION("""COMPUTED_VALUE"""),"Lisandro Russian")</f>
        <v>Lisandro Russian</v>
      </c>
      <c r="R584" s="7"/>
    </row>
    <row r="585" spans="5:18">
      <c r="E585" s="7" t="str">
        <f ca="1">IFERROR(__xludf.DUMMYFUNCTION("""COMPUTED_VALUE"""),"Juan Vera Luna")</f>
        <v>Juan Vera Luna</v>
      </c>
      <c r="F585" s="7" t="str">
        <f ca="1">IFERROR(__xludf.DUMMYFUNCTION("""COMPUTED_VALUE"""),"ISL61")</f>
        <v>ISL61</v>
      </c>
      <c r="G585" s="7" t="str">
        <f ca="1">IFERROR(__xludf.DUMMYFUNCTION("""COMPUTED_VALUE"""),"Iván Sánchez")</f>
        <v>Iván Sánchez</v>
      </c>
      <c r="R585" s="7"/>
    </row>
    <row r="586" spans="5:18">
      <c r="E586" s="7" t="str">
        <f ca="1">IFERROR(__xludf.DUMMYFUNCTION("""COMPUTED_VALUE"""),"Julia Arteaga Puente")</f>
        <v>Julia Arteaga Puente</v>
      </c>
      <c r="F586" s="7" t="str">
        <f ca="1">IFERROR(__xludf.DUMMYFUNCTION("""COMPUTED_VALUE"""),"MBM126")</f>
        <v>MBM126</v>
      </c>
      <c r="G586" s="7" t="str">
        <f ca="1">IFERROR(__xludf.DUMMYFUNCTION("""COMPUTED_VALUE"""),"Maika Blázquez")</f>
        <v>Maika Blázquez</v>
      </c>
      <c r="R586" s="7"/>
    </row>
    <row r="587" spans="5:18">
      <c r="E587" s="7" t="str">
        <f ca="1">IFERROR(__xludf.DUMMYFUNCTION("""COMPUTED_VALUE"""),"Julia María Da Costa Belisario")</f>
        <v>Julia María Da Costa Belisario</v>
      </c>
      <c r="F587" s="7" t="str">
        <f ca="1">IFERROR(__xludf.DUMMYFUNCTION("""COMPUTED_VALUE"""),"MBM127")</f>
        <v>MBM127</v>
      </c>
      <c r="G587" s="7" t="str">
        <f ca="1">IFERROR(__xludf.DUMMYFUNCTION("""COMPUTED_VALUE"""),"Maika Blázquez")</f>
        <v>Maika Blázquez</v>
      </c>
      <c r="R587" s="7"/>
    </row>
    <row r="588" spans="5:18">
      <c r="E588" s="7" t="str">
        <f ca="1">IFERROR(__xludf.DUMMYFUNCTION("""COMPUTED_VALUE"""),"Julia María Rouco Pérez")</f>
        <v>Julia María Rouco Pérez</v>
      </c>
      <c r="F588" s="7" t="str">
        <f ca="1">IFERROR(__xludf.DUMMYFUNCTION("""COMPUTED_VALUE"""),"RPG62")</f>
        <v>RPG62</v>
      </c>
      <c r="G588" s="7" t="str">
        <f ca="1">IFERROR(__xludf.DUMMYFUNCTION("""COMPUTED_VALUE"""),"Roberto Pereira")</f>
        <v>Roberto Pereira</v>
      </c>
      <c r="R588" s="7"/>
    </row>
    <row r="589" spans="5:18">
      <c r="E589" s="7" t="str">
        <f ca="1">IFERROR(__xludf.DUMMYFUNCTION("""COMPUTED_VALUE"""),"Julián Preciado López")</f>
        <v>Julián Preciado López</v>
      </c>
      <c r="F589" s="7" t="str">
        <f ca="1">IFERROR(__xludf.DUMMYFUNCTION("""COMPUTED_VALUE"""),"AMM11")</f>
        <v>AMM11</v>
      </c>
      <c r="G589" s="7" t="str">
        <f ca="1">IFERROR(__xludf.DUMMYFUNCTION("""COMPUTED_VALUE"""),"Alberto Moreno")</f>
        <v>Alberto Moreno</v>
      </c>
      <c r="R589" s="7"/>
    </row>
    <row r="590" spans="5:18">
      <c r="E590" s="7" t="str">
        <f ca="1">IFERROR(__xludf.DUMMYFUNCTION("""COMPUTED_VALUE"""),"Julie Múñoz Freitez")</f>
        <v>Julie Múñoz Freitez</v>
      </c>
      <c r="F590" s="7" t="str">
        <f ca="1">IFERROR(__xludf.DUMMYFUNCTION("""COMPUTED_VALUE"""),"MBM61")</f>
        <v>MBM61</v>
      </c>
      <c r="G590" s="7" t="str">
        <f ca="1">IFERROR(__xludf.DUMMYFUNCTION("""COMPUTED_VALUE"""),"Maika Blázquez")</f>
        <v>Maika Blázquez</v>
      </c>
      <c r="R590" s="7"/>
    </row>
    <row r="591" spans="5:18">
      <c r="E591" s="7" t="str">
        <f ca="1">IFERROR(__xludf.DUMMYFUNCTION("""COMPUTED_VALUE"""),"Julio Joaquin López Moya")</f>
        <v>Julio Joaquin López Moya</v>
      </c>
      <c r="F591" s="7" t="str">
        <f ca="1">IFERROR(__xludf.DUMMYFUNCTION("""COMPUTED_VALUE"""),"MBM62")</f>
        <v>MBM62</v>
      </c>
      <c r="G591" s="7" t="str">
        <f ca="1">IFERROR(__xludf.DUMMYFUNCTION("""COMPUTED_VALUE"""),"Maika Blázquez")</f>
        <v>Maika Blázquez</v>
      </c>
      <c r="R591" s="7"/>
    </row>
    <row r="592" spans="5:18">
      <c r="E592" s="7" t="str">
        <f ca="1">IFERROR(__xludf.DUMMYFUNCTION("""COMPUTED_VALUE"""),"Julio Knaster del Olmo")</f>
        <v>Julio Knaster del Olmo</v>
      </c>
      <c r="F592" s="7" t="str">
        <f ca="1">IFERROR(__xludf.DUMMYFUNCTION("""COMPUTED_VALUE"""),"LRM90")</f>
        <v>LRM90</v>
      </c>
      <c r="G592" s="7" t="str">
        <f ca="1">IFERROR(__xludf.DUMMYFUNCTION("""COMPUTED_VALUE"""),"Lisandro Russian")</f>
        <v>Lisandro Russian</v>
      </c>
      <c r="R592" s="7"/>
    </row>
    <row r="593" spans="5:18">
      <c r="E593" s="7" t="str">
        <f ca="1">IFERROR(__xludf.DUMMYFUNCTION("""COMPUTED_VALUE"""),"Julio López Moya")</f>
        <v>Julio López Moya</v>
      </c>
      <c r="F593" s="7" t="str">
        <f ca="1">IFERROR(__xludf.DUMMYFUNCTION("""COMPUTED_VALUE"""),"LAA63")</f>
        <v>LAA63</v>
      </c>
      <c r="G593" s="7" t="str">
        <f ca="1">IFERROR(__xludf.DUMMYFUNCTION("""COMPUTED_VALUE"""),"Luis Alberto Rodríguez")</f>
        <v>Luis Alberto Rodríguez</v>
      </c>
      <c r="R593" s="7"/>
    </row>
    <row r="594" spans="5:18">
      <c r="E594" s="7" t="str">
        <f ca="1">IFERROR(__xludf.DUMMYFUNCTION("""COMPUTED_VALUE"""),"Julio Nogués Orpí")</f>
        <v>Julio Nogués Orpí</v>
      </c>
      <c r="F594" s="7" t="str">
        <f ca="1">IFERROR(__xludf.DUMMYFUNCTION("""COMPUTED_VALUE"""),"MCC60")</f>
        <v>MCC60</v>
      </c>
      <c r="G594" s="7" t="str">
        <f ca="1">IFERROR(__xludf.DUMMYFUNCTION("""COMPUTED_VALUE"""),"Mercè Cabrera")</f>
        <v>Mercè Cabrera</v>
      </c>
      <c r="R594" s="7"/>
    </row>
    <row r="595" spans="5:18">
      <c r="E595" s="7" t="str">
        <f ca="1">IFERROR(__xludf.DUMMYFUNCTION("""COMPUTED_VALUE"""),"Julio Peñarrocha Teres")</f>
        <v>Julio Peñarrocha Teres</v>
      </c>
      <c r="F595" s="7" t="str">
        <f ca="1">IFERROR(__xludf.DUMMYFUNCTION("""COMPUTED_VALUE"""),"LRM91")</f>
        <v>LRM91</v>
      </c>
      <c r="G595" s="7" t="str">
        <f ca="1">IFERROR(__xludf.DUMMYFUNCTION("""COMPUTED_VALUE"""),"Lisandro Russian")</f>
        <v>Lisandro Russian</v>
      </c>
      <c r="R595" s="7"/>
    </row>
    <row r="596" spans="5:18">
      <c r="E596" s="7" t="str">
        <f ca="1">IFERROR(__xludf.DUMMYFUNCTION("""COMPUTED_VALUE"""),"Julissa Vizcarra")</f>
        <v>Julissa Vizcarra</v>
      </c>
      <c r="F596" s="7" t="str">
        <f ca="1">IFERROR(__xludf.DUMMYFUNCTION("""COMPUTED_VALUE"""),"MCC64")</f>
        <v>MCC64</v>
      </c>
      <c r="G596" s="7" t="str">
        <f ca="1">IFERROR(__xludf.DUMMYFUNCTION("""COMPUTED_VALUE"""),"Mercè Cabrera")</f>
        <v>Mercè Cabrera</v>
      </c>
      <c r="R596" s="7"/>
    </row>
    <row r="597" spans="5:18">
      <c r="E597" s="7" t="str">
        <f ca="1">IFERROR(__xludf.DUMMYFUNCTION("""COMPUTED_VALUE"""),"Karen Helena Vasquez Pinochet")</f>
        <v>Karen Helena Vasquez Pinochet</v>
      </c>
      <c r="F597" s="7" t="str">
        <f ca="1">IFERROR(__xludf.DUMMYFUNCTION("""COMPUTED_VALUE"""),"LRM169")</f>
        <v>LRM169</v>
      </c>
      <c r="G597" s="7" t="str">
        <f ca="1">IFERROR(__xludf.DUMMYFUNCTION("""COMPUTED_VALUE"""),"Lisandro Russian")</f>
        <v>Lisandro Russian</v>
      </c>
      <c r="R597" s="7"/>
    </row>
    <row r="598" spans="5:18">
      <c r="E598" s="7" t="str">
        <f ca="1">IFERROR(__xludf.DUMMYFUNCTION("""COMPUTED_VALUE"""),"Karen Rojas Crespo")</f>
        <v>Karen Rojas Crespo</v>
      </c>
      <c r="F598" s="7" t="str">
        <f ca="1">IFERROR(__xludf.DUMMYFUNCTION("""COMPUTED_VALUE"""),"ISL105")</f>
        <v>ISL105</v>
      </c>
      <c r="G598" s="7" t="str">
        <f ca="1">IFERROR(__xludf.DUMMYFUNCTION("""COMPUTED_VALUE"""),"Iván Sánchez")</f>
        <v>Iván Sánchez</v>
      </c>
      <c r="R598" s="7"/>
    </row>
    <row r="599" spans="5:18">
      <c r="E599" s="7" t="str">
        <f ca="1">IFERROR(__xludf.DUMMYFUNCTION("""COMPUTED_VALUE"""),"Karen Wejbe Munoz")</f>
        <v>Karen Wejbe Munoz</v>
      </c>
      <c r="F599" s="7" t="str">
        <f ca="1">IFERROR(__xludf.DUMMYFUNCTION("""COMPUTED_VALUE"""),"LRM170")</f>
        <v>LRM170</v>
      </c>
      <c r="G599" s="7" t="str">
        <f ca="1">IFERROR(__xludf.DUMMYFUNCTION("""COMPUTED_VALUE"""),"Lisandro Russian")</f>
        <v>Lisandro Russian</v>
      </c>
      <c r="R599" s="7"/>
    </row>
    <row r="600" spans="5:18">
      <c r="E600" s="7" t="str">
        <f ca="1">IFERROR(__xludf.DUMMYFUNCTION("""COMPUTED_VALUE"""),"Karim Al Youn Aldabbagh")</f>
        <v>Karim Al Youn Aldabbagh</v>
      </c>
      <c r="F600" s="7" t="str">
        <f ca="1">IFERROR(__xludf.DUMMYFUNCTION("""COMPUTED_VALUE"""),"LRM92")</f>
        <v>LRM92</v>
      </c>
      <c r="G600" s="7" t="str">
        <f ca="1">IFERROR(__xludf.DUMMYFUNCTION("""COMPUTED_VALUE"""),"Lisandro Russian")</f>
        <v>Lisandro Russian</v>
      </c>
      <c r="R600" s="7"/>
    </row>
    <row r="601" spans="5:18">
      <c r="E601" s="7" t="str">
        <f ca="1">IFERROR(__xludf.DUMMYFUNCTION("""COMPUTED_VALUE"""),"Karla Natali Montaño Rueda")</f>
        <v>Karla Natali Montaño Rueda</v>
      </c>
      <c r="F601" s="7" t="str">
        <f ca="1">IFERROR(__xludf.DUMMYFUNCTION("""COMPUTED_VALUE"""),"MBM128")</f>
        <v>MBM128</v>
      </c>
      <c r="G601" s="7" t="str">
        <f ca="1">IFERROR(__xludf.DUMMYFUNCTION("""COMPUTED_VALUE"""),"Maika Blázquez")</f>
        <v>Maika Blázquez</v>
      </c>
      <c r="R601" s="7"/>
    </row>
    <row r="602" spans="5:18">
      <c r="E602" s="7" t="str">
        <f ca="1">IFERROR(__xludf.DUMMYFUNCTION("""COMPUTED_VALUE"""),"Kurt Liebner Martínez")</f>
        <v>Kurt Liebner Martínez</v>
      </c>
      <c r="F602" s="7" t="str">
        <f ca="1">IFERROR(__xludf.DUMMYFUNCTION("""COMPUTED_VALUE"""),"MBM216")</f>
        <v>MBM216</v>
      </c>
      <c r="G602" s="7" t="str">
        <f ca="1">IFERROR(__xludf.DUMMYFUNCTION("""COMPUTED_VALUE"""),"Maika Blázquez")</f>
        <v>Maika Blázquez</v>
      </c>
      <c r="R602" s="7"/>
    </row>
    <row r="603" spans="5:18">
      <c r="E603" s="7" t="str">
        <f ca="1">IFERROR(__xludf.DUMMYFUNCTION("""COMPUTED_VALUE"""),"Laura Arias Gómez")</f>
        <v>Laura Arias Gómez</v>
      </c>
      <c r="F603" s="7" t="str">
        <f ca="1">IFERROR(__xludf.DUMMYFUNCTION("""COMPUTED_VALUE"""),"ISL106")</f>
        <v>ISL106</v>
      </c>
      <c r="G603" s="7" t="str">
        <f ca="1">IFERROR(__xludf.DUMMYFUNCTION("""COMPUTED_VALUE"""),"Iván Sánchez")</f>
        <v>Iván Sánchez</v>
      </c>
      <c r="R603" s="7"/>
    </row>
    <row r="604" spans="5:18">
      <c r="E604" s="7" t="str">
        <f ca="1">IFERROR(__xludf.DUMMYFUNCTION("""COMPUTED_VALUE"""),"Laura Cavallé Garrido")</f>
        <v>Laura Cavallé Garrido</v>
      </c>
      <c r="F604" s="7" t="str">
        <f ca="1">IFERROR(__xludf.DUMMYFUNCTION("""COMPUTED_VALUE"""),"ISL107")</f>
        <v>ISL107</v>
      </c>
      <c r="G604" s="7" t="str">
        <f ca="1">IFERROR(__xludf.DUMMYFUNCTION("""COMPUTED_VALUE"""),"Iván Sánchez")</f>
        <v>Iván Sánchez</v>
      </c>
      <c r="R604" s="7"/>
    </row>
    <row r="605" spans="5:18">
      <c r="E605" s="7" t="str">
        <f ca="1">IFERROR(__xludf.DUMMYFUNCTION("""COMPUTED_VALUE"""),"Laura Curieses Becerril")</f>
        <v>Laura Curieses Becerril</v>
      </c>
      <c r="F605" s="7" t="str">
        <f ca="1">IFERROR(__xludf.DUMMYFUNCTION("""COMPUTED_VALUE"""),"PSC38")</f>
        <v>PSC38</v>
      </c>
      <c r="G605" s="7" t="str">
        <f ca="1">IFERROR(__xludf.DUMMYFUNCTION("""COMPUTED_VALUE"""),"Patricia Solache")</f>
        <v>Patricia Solache</v>
      </c>
      <c r="R605" s="7"/>
    </row>
    <row r="606" spans="5:18">
      <c r="E606" s="7" t="str">
        <f ca="1">IFERROR(__xludf.DUMMYFUNCTION("""COMPUTED_VALUE"""),"Laura del Toro Gil")</f>
        <v>Laura del Toro Gil</v>
      </c>
      <c r="F606" s="7" t="str">
        <f ca="1">IFERROR(__xludf.DUMMYFUNCTION("""COMPUTED_VALUE"""),"MBM129")</f>
        <v>MBM129</v>
      </c>
      <c r="G606" s="7" t="str">
        <f ca="1">IFERROR(__xludf.DUMMYFUNCTION("""COMPUTED_VALUE"""),"Maika Blázquez")</f>
        <v>Maika Blázquez</v>
      </c>
      <c r="R606" s="7"/>
    </row>
    <row r="607" spans="5:18">
      <c r="E607" s="7" t="str">
        <f ca="1">IFERROR(__xludf.DUMMYFUNCTION("""COMPUTED_VALUE"""),"Laura Galvez Gajo")</f>
        <v>Laura Galvez Gajo</v>
      </c>
      <c r="F607" s="7" t="str">
        <f ca="1">IFERROR(__xludf.DUMMYFUNCTION("""COMPUTED_VALUE"""),"MBM130")</f>
        <v>MBM130</v>
      </c>
      <c r="G607" s="7" t="str">
        <f ca="1">IFERROR(__xludf.DUMMYFUNCTION("""COMPUTED_VALUE"""),"Maika Blázquez")</f>
        <v>Maika Blázquez</v>
      </c>
      <c r="R607" s="7"/>
    </row>
    <row r="608" spans="5:18">
      <c r="E608" s="7" t="str">
        <f ca="1">IFERROR(__xludf.DUMMYFUNCTION("""COMPUTED_VALUE"""),"Laura Gálvez Gazo")</f>
        <v>Laura Gálvez Gazo</v>
      </c>
      <c r="F608" s="7" t="str">
        <f ca="1">IFERROR(__xludf.DUMMYFUNCTION("""COMPUTED_VALUE"""),"MBM196")</f>
        <v>MBM196</v>
      </c>
      <c r="G608" s="7" t="str">
        <f ca="1">IFERROR(__xludf.DUMMYFUNCTION("""COMPUTED_VALUE"""),"Maika Blázquez")</f>
        <v>Maika Blázquez</v>
      </c>
      <c r="R608" s="7"/>
    </row>
    <row r="609" spans="5:18">
      <c r="E609" s="7" t="str">
        <f ca="1">IFERROR(__xludf.DUMMYFUNCTION("""COMPUTED_VALUE"""),"Laura Gañán Albuisech")</f>
        <v>Laura Gañán Albuisech</v>
      </c>
      <c r="F609" s="7" t="str">
        <f ca="1">IFERROR(__xludf.DUMMYFUNCTION("""COMPUTED_VALUE"""),"ISL108")</f>
        <v>ISL108</v>
      </c>
      <c r="G609" s="7" t="str">
        <f ca="1">IFERROR(__xludf.DUMMYFUNCTION("""COMPUTED_VALUE"""),"Iván Sánchez")</f>
        <v>Iván Sánchez</v>
      </c>
      <c r="R609" s="7"/>
    </row>
    <row r="610" spans="5:18">
      <c r="E610" s="7" t="str">
        <f ca="1">IFERROR(__xludf.DUMMYFUNCTION("""COMPUTED_VALUE"""),"Laura García Pérez")</f>
        <v>Laura García Pérez</v>
      </c>
      <c r="F610" s="7" t="str">
        <f ca="1">IFERROR(__xludf.DUMMYFUNCTION("""COMPUTED_VALUE"""),"LRM171")</f>
        <v>LRM171</v>
      </c>
      <c r="G610" s="7" t="str">
        <f ca="1">IFERROR(__xludf.DUMMYFUNCTION("""COMPUTED_VALUE"""),"Lisandro Russian")</f>
        <v>Lisandro Russian</v>
      </c>
      <c r="R610" s="7"/>
    </row>
    <row r="611" spans="5:18">
      <c r="E611" s="7" t="str">
        <f ca="1">IFERROR(__xludf.DUMMYFUNCTION("""COMPUTED_VALUE"""),"Laura Garrido García")</f>
        <v>Laura Garrido García</v>
      </c>
      <c r="F611" s="7" t="str">
        <f ca="1">IFERROR(__xludf.DUMMYFUNCTION("""COMPUTED_VALUE"""),"MBM131")</f>
        <v>MBM131</v>
      </c>
      <c r="G611" s="7" t="str">
        <f ca="1">IFERROR(__xludf.DUMMYFUNCTION("""COMPUTED_VALUE"""),"Maika Blázquez")</f>
        <v>Maika Blázquez</v>
      </c>
      <c r="R611" s="7"/>
    </row>
    <row r="612" spans="5:18">
      <c r="E612" s="7" t="str">
        <f ca="1">IFERROR(__xludf.DUMMYFUNCTION("""COMPUTED_VALUE"""),"Laura Grau de Diego")</f>
        <v>Laura Grau de Diego</v>
      </c>
      <c r="F612" s="7" t="str">
        <f ca="1">IFERROR(__xludf.DUMMYFUNCTION("""COMPUTED_VALUE"""),"MCC65")</f>
        <v>MCC65</v>
      </c>
      <c r="G612" s="7" t="str">
        <f ca="1">IFERROR(__xludf.DUMMYFUNCTION("""COMPUTED_VALUE"""),"Mercè Cabrera")</f>
        <v>Mercè Cabrera</v>
      </c>
      <c r="R612" s="7"/>
    </row>
    <row r="613" spans="5:18">
      <c r="E613" s="7" t="str">
        <f ca="1">IFERROR(__xludf.DUMMYFUNCTION("""COMPUTED_VALUE"""),"Laura Guillamon Vivancos")</f>
        <v>Laura Guillamon Vivancos</v>
      </c>
      <c r="F613" s="7" t="str">
        <f ca="1">IFERROR(__xludf.DUMMYFUNCTION("""COMPUTED_VALUE"""),"ISL109")</f>
        <v>ISL109</v>
      </c>
      <c r="G613" s="7" t="str">
        <f ca="1">IFERROR(__xludf.DUMMYFUNCTION("""COMPUTED_VALUE"""),"Iván Sánchez")</f>
        <v>Iván Sánchez</v>
      </c>
      <c r="R613" s="7"/>
    </row>
    <row r="614" spans="5:18">
      <c r="E614" s="7" t="str">
        <f ca="1">IFERROR(__xludf.DUMMYFUNCTION("""COMPUTED_VALUE"""),"Laura Isabel del Amo Martínez")</f>
        <v>Laura Isabel del Amo Martínez</v>
      </c>
      <c r="F614" s="7" t="str">
        <f ca="1">IFERROR(__xludf.DUMMYFUNCTION("""COMPUTED_VALUE"""),"ISL151")</f>
        <v>ISL151</v>
      </c>
      <c r="G614" s="7" t="str">
        <f ca="1">IFERROR(__xludf.DUMMYFUNCTION("""COMPUTED_VALUE"""),"Iván Sánchez")</f>
        <v>Iván Sánchez</v>
      </c>
      <c r="R614" s="7"/>
    </row>
    <row r="615" spans="5:18">
      <c r="E615" s="7" t="str">
        <f ca="1">IFERROR(__xludf.DUMMYFUNCTION("""COMPUTED_VALUE"""),"Laura Koren Fernández")</f>
        <v>Laura Koren Fernández</v>
      </c>
      <c r="F615" s="7" t="str">
        <f ca="1">IFERROR(__xludf.DUMMYFUNCTION("""COMPUTED_VALUE"""),"LRM172")</f>
        <v>LRM172</v>
      </c>
      <c r="G615" s="7" t="str">
        <f ca="1">IFERROR(__xludf.DUMMYFUNCTION("""COMPUTED_VALUE"""),"Lisandro Russian")</f>
        <v>Lisandro Russian</v>
      </c>
      <c r="R615" s="7"/>
    </row>
    <row r="616" spans="5:18">
      <c r="E616" s="7" t="str">
        <f ca="1">IFERROR(__xludf.DUMMYFUNCTION("""COMPUTED_VALUE"""),"Laura Pérez Delgado")</f>
        <v>Laura Pérez Delgado</v>
      </c>
      <c r="F616" s="7" t="str">
        <f ca="1">IFERROR(__xludf.DUMMYFUNCTION("""COMPUTED_VALUE"""),"LRM173")</f>
        <v>LRM173</v>
      </c>
      <c r="G616" s="7" t="str">
        <f ca="1">IFERROR(__xludf.DUMMYFUNCTION("""COMPUTED_VALUE"""),"Lisandro Russian")</f>
        <v>Lisandro Russian</v>
      </c>
      <c r="R616" s="7"/>
    </row>
    <row r="617" spans="5:18">
      <c r="E617" s="7" t="str">
        <f ca="1">IFERROR(__xludf.DUMMYFUNCTION("""COMPUTED_VALUE"""),"Laura Rodrigañez Riesco")</f>
        <v>Laura Rodrigañez Riesco</v>
      </c>
      <c r="F617" s="7" t="str">
        <f ca="1">IFERROR(__xludf.DUMMYFUNCTION("""COMPUTED_VALUE"""),"LRM174")</f>
        <v>LRM174</v>
      </c>
      <c r="G617" s="7" t="str">
        <f ca="1">IFERROR(__xludf.DUMMYFUNCTION("""COMPUTED_VALUE"""),"Lisandro Russian")</f>
        <v>Lisandro Russian</v>
      </c>
      <c r="R617" s="7"/>
    </row>
    <row r="618" spans="5:18">
      <c r="E618" s="7" t="str">
        <f ca="1">IFERROR(__xludf.DUMMYFUNCTION("""COMPUTED_VALUE"""),"Laura Ruano De Pablo")</f>
        <v>Laura Ruano De Pablo</v>
      </c>
      <c r="F618" s="7" t="str">
        <f ca="1">IFERROR(__xludf.DUMMYFUNCTION("""COMPUTED_VALUE"""),"MBM132")</f>
        <v>MBM132</v>
      </c>
      <c r="G618" s="7" t="str">
        <f ca="1">IFERROR(__xludf.DUMMYFUNCTION("""COMPUTED_VALUE"""),"Maika Blázquez")</f>
        <v>Maika Blázquez</v>
      </c>
      <c r="R618" s="7"/>
    </row>
    <row r="619" spans="5:18">
      <c r="E619" s="7" t="str">
        <f ca="1">IFERROR(__xludf.DUMMYFUNCTION("""COMPUTED_VALUE"""),"Laura Yeguas Ramírez")</f>
        <v>Laura Yeguas Ramírez</v>
      </c>
      <c r="F619" s="7" t="str">
        <f ca="1">IFERROR(__xludf.DUMMYFUNCTION("""COMPUTED_VALUE"""),"MBM133")</f>
        <v>MBM133</v>
      </c>
      <c r="G619" s="7" t="str">
        <f ca="1">IFERROR(__xludf.DUMMYFUNCTION("""COMPUTED_VALUE"""),"Maika Blázquez")</f>
        <v>Maika Blázquez</v>
      </c>
      <c r="R619" s="7"/>
    </row>
    <row r="620" spans="5:18">
      <c r="E620" s="7" t="str">
        <f ca="1">IFERROR(__xludf.DUMMYFUNCTION("""COMPUTED_VALUE"""),"León Fernández Cameselle")</f>
        <v>León Fernández Cameselle</v>
      </c>
      <c r="F620" s="7" t="str">
        <f ca="1">IFERROR(__xludf.DUMMYFUNCTION("""COMPUTED_VALUE"""),"RPG26")</f>
        <v>RPG26</v>
      </c>
      <c r="G620" s="7" t="str">
        <f ca="1">IFERROR(__xludf.DUMMYFUNCTION("""COMPUTED_VALUE"""),"Roberto Pereira")</f>
        <v>Roberto Pereira</v>
      </c>
      <c r="R620" s="7"/>
    </row>
    <row r="621" spans="5:18">
      <c r="E621" s="7" t="str">
        <f ca="1">IFERROR(__xludf.DUMMYFUNCTION("""COMPUTED_VALUE"""),"Leonor Calatayud Lallana")</f>
        <v>Leonor Calatayud Lallana</v>
      </c>
      <c r="F621" s="7" t="str">
        <f ca="1">IFERROR(__xludf.DUMMYFUNCTION("""COMPUTED_VALUE"""),"LRM175")</f>
        <v>LRM175</v>
      </c>
      <c r="G621" s="7" t="str">
        <f ca="1">IFERROR(__xludf.DUMMYFUNCTION("""COMPUTED_VALUE"""),"Lisandro Russian")</f>
        <v>Lisandro Russian</v>
      </c>
      <c r="R621" s="7"/>
    </row>
    <row r="622" spans="5:18">
      <c r="E622" s="7" t="str">
        <f ca="1">IFERROR(__xludf.DUMMYFUNCTION("""COMPUTED_VALUE"""),"Leonor María Camargo")</f>
        <v>Leonor María Camargo</v>
      </c>
      <c r="F622" s="7" t="str">
        <f ca="1">IFERROR(__xludf.DUMMYFUNCTION("""COMPUTED_VALUE"""),"MBM134")</f>
        <v>MBM134</v>
      </c>
      <c r="G622" s="7" t="str">
        <f ca="1">IFERROR(__xludf.DUMMYFUNCTION("""COMPUTED_VALUE"""),"Maika Blázquez")</f>
        <v>Maika Blázquez</v>
      </c>
      <c r="R622" s="7"/>
    </row>
    <row r="623" spans="5:18">
      <c r="E623" s="7" t="str">
        <f ca="1">IFERROR(__xludf.DUMMYFUNCTION("""COMPUTED_VALUE"""),"Lidia Vizcaino Cuesta")</f>
        <v>Lidia Vizcaino Cuesta</v>
      </c>
      <c r="F623" s="7" t="str">
        <f ca="1">IFERROR(__xludf.DUMMYFUNCTION("""COMPUTED_VALUE"""),"ISL110")</f>
        <v>ISL110</v>
      </c>
      <c r="G623" s="7" t="str">
        <f ca="1">IFERROR(__xludf.DUMMYFUNCTION("""COMPUTED_VALUE"""),"Iván Sánchez")</f>
        <v>Iván Sánchez</v>
      </c>
      <c r="R623" s="7"/>
    </row>
    <row r="624" spans="5:18">
      <c r="E624" s="7" t="str">
        <f ca="1">IFERROR(__xludf.DUMMYFUNCTION("""COMPUTED_VALUE"""),"Liliana Filipa Invencio Da Costa")</f>
        <v>Liliana Filipa Invencio Da Costa</v>
      </c>
      <c r="F624" s="7" t="str">
        <f ca="1">IFERROR(__xludf.DUMMYFUNCTION("""COMPUTED_VALUE"""),"PSC39")</f>
        <v>PSC39</v>
      </c>
      <c r="G624" s="7" t="str">
        <f ca="1">IFERROR(__xludf.DUMMYFUNCTION("""COMPUTED_VALUE"""),"Patricia Solache")</f>
        <v>Patricia Solache</v>
      </c>
      <c r="R624" s="7"/>
    </row>
    <row r="625" spans="5:18">
      <c r="E625" s="7" t="str">
        <f ca="1">IFERROR(__xludf.DUMMYFUNCTION("""COMPUTED_VALUE"""),"Lina Rosique López")</f>
        <v>Lina Rosique López</v>
      </c>
      <c r="F625" s="7" t="str">
        <f ca="1">IFERROR(__xludf.DUMMYFUNCTION("""COMPUTED_VALUE"""),"ISL111")</f>
        <v>ISL111</v>
      </c>
      <c r="G625" s="7" t="str">
        <f ca="1">IFERROR(__xludf.DUMMYFUNCTION("""COMPUTED_VALUE"""),"Iván Sánchez")</f>
        <v>Iván Sánchez</v>
      </c>
      <c r="R625" s="7"/>
    </row>
    <row r="626" spans="5:18">
      <c r="E626" s="7" t="str">
        <f ca="1">IFERROR(__xludf.DUMMYFUNCTION("""COMPUTED_VALUE"""),"Lino Enguidanos Hernandorena")</f>
        <v>Lino Enguidanos Hernandorena</v>
      </c>
      <c r="F626" s="7" t="str">
        <f ca="1">IFERROR(__xludf.DUMMYFUNCTION("""COMPUTED_VALUE"""),"ISL62")</f>
        <v>ISL62</v>
      </c>
      <c r="G626" s="7" t="str">
        <f ca="1">IFERROR(__xludf.DUMMYFUNCTION("""COMPUTED_VALUE"""),"Iván Sánchez")</f>
        <v>Iván Sánchez</v>
      </c>
      <c r="R626" s="7"/>
    </row>
    <row r="627" spans="5:18">
      <c r="E627" s="7" t="str">
        <f ca="1">IFERROR(__xludf.DUMMYFUNCTION("""COMPUTED_VALUE"""),"Lorena Galindo Íñiguez")</f>
        <v>Lorena Galindo Íñiguez</v>
      </c>
      <c r="F627" s="7" t="str">
        <f ca="1">IFERROR(__xludf.DUMMYFUNCTION("""COMPUTED_VALUE"""),"ISL112")</f>
        <v>ISL112</v>
      </c>
      <c r="G627" s="7" t="str">
        <f ca="1">IFERROR(__xludf.DUMMYFUNCTION("""COMPUTED_VALUE"""),"Iván Sánchez")</f>
        <v>Iván Sánchez</v>
      </c>
      <c r="R627" s="7"/>
    </row>
    <row r="628" spans="5:18">
      <c r="E628" s="7" t="str">
        <f ca="1">IFERROR(__xludf.DUMMYFUNCTION("""COMPUTED_VALUE"""),"Lorena Pérez López")</f>
        <v>Lorena Pérez López</v>
      </c>
      <c r="F628" s="7" t="str">
        <f ca="1">IFERROR(__xludf.DUMMYFUNCTION("""COMPUTED_VALUE"""),"MBM135")</f>
        <v>MBM135</v>
      </c>
      <c r="G628" s="7" t="str">
        <f ca="1">IFERROR(__xludf.DUMMYFUNCTION("""COMPUTED_VALUE"""),"Maika Blázquez")</f>
        <v>Maika Blázquez</v>
      </c>
      <c r="R628" s="7"/>
    </row>
    <row r="629" spans="5:18">
      <c r="E629" s="7" t="str">
        <f ca="1">IFERROR(__xludf.DUMMYFUNCTION("""COMPUTED_VALUE"""),"Lorena Sanz López")</f>
        <v>Lorena Sanz López</v>
      </c>
      <c r="F629" s="7" t="str">
        <f ca="1">IFERROR(__xludf.DUMMYFUNCTION("""COMPUTED_VALUE"""),"MBM136")</f>
        <v>MBM136</v>
      </c>
      <c r="G629" s="7" t="str">
        <f ca="1">IFERROR(__xludf.DUMMYFUNCTION("""COMPUTED_VALUE"""),"Maika Blázquez")</f>
        <v>Maika Blázquez</v>
      </c>
      <c r="R629" s="7"/>
    </row>
    <row r="630" spans="5:18">
      <c r="E630" s="7" t="str">
        <f ca="1">IFERROR(__xludf.DUMMYFUNCTION("""COMPUTED_VALUE"""),"Lorenzo Treglia")</f>
        <v>Lorenzo Treglia</v>
      </c>
      <c r="F630" s="7" t="str">
        <f ca="1">IFERROR(__xludf.DUMMYFUNCTION("""COMPUTED_VALUE"""),"ISL148")</f>
        <v>ISL148</v>
      </c>
      <c r="G630" s="7" t="str">
        <f ca="1">IFERROR(__xludf.DUMMYFUNCTION("""COMPUTED_VALUE"""),"Iván Sánchez")</f>
        <v>Iván Sánchez</v>
      </c>
      <c r="R630" s="7"/>
    </row>
    <row r="631" spans="5:18">
      <c r="E631" s="7" t="str">
        <f ca="1">IFERROR(__xludf.DUMMYFUNCTION("""COMPUTED_VALUE"""),"Lourdes Alonso Alonso")</f>
        <v>Lourdes Alonso Alonso</v>
      </c>
      <c r="F631" s="7" t="str">
        <f ca="1">IFERROR(__xludf.DUMMYFUNCTION("""COMPUTED_VALUE"""),"AMM14")</f>
        <v>AMM14</v>
      </c>
      <c r="G631" s="7" t="str">
        <f ca="1">IFERROR(__xludf.DUMMYFUNCTION("""COMPUTED_VALUE"""),"Alberto Moreno")</f>
        <v>Alberto Moreno</v>
      </c>
      <c r="R631" s="7"/>
    </row>
    <row r="632" spans="5:18">
      <c r="E632" s="7" t="str">
        <f ca="1">IFERROR(__xludf.DUMMYFUNCTION("""COMPUTED_VALUE"""),"Lourdes Montes-Jovellar González")</f>
        <v>Lourdes Montes-Jovellar González</v>
      </c>
      <c r="F632" s="7" t="str">
        <f ca="1">IFERROR(__xludf.DUMMYFUNCTION("""COMPUTED_VALUE"""),"MBM137")</f>
        <v>MBM137</v>
      </c>
      <c r="G632" s="7" t="str">
        <f ca="1">IFERROR(__xludf.DUMMYFUNCTION("""COMPUTED_VALUE"""),"Maika Blázquez")</f>
        <v>Maika Blázquez</v>
      </c>
      <c r="R632" s="7"/>
    </row>
    <row r="633" spans="5:18">
      <c r="E633" s="7" t="str">
        <f ca="1">IFERROR(__xludf.DUMMYFUNCTION("""COMPUTED_VALUE"""),"Lucas Cueto-Felgueroso")</f>
        <v>Lucas Cueto-Felgueroso</v>
      </c>
      <c r="F633" s="7" t="str">
        <f ca="1">IFERROR(__xludf.DUMMYFUNCTION("""COMPUTED_VALUE"""),"MBM63")</f>
        <v>MBM63</v>
      </c>
      <c r="G633" s="7" t="str">
        <f ca="1">IFERROR(__xludf.DUMMYFUNCTION("""COMPUTED_VALUE"""),"Maika Blázquez")</f>
        <v>Maika Blázquez</v>
      </c>
      <c r="R633" s="7"/>
    </row>
    <row r="634" spans="5:18">
      <c r="E634" s="7" t="str">
        <f ca="1">IFERROR(__xludf.DUMMYFUNCTION("""COMPUTED_VALUE"""),"Lucía Clement Alonso")</f>
        <v>Lucía Clement Alonso</v>
      </c>
      <c r="F634" s="7" t="str">
        <f ca="1">IFERROR(__xludf.DUMMYFUNCTION("""COMPUTED_VALUE"""),"AMM26")</f>
        <v>AMM26</v>
      </c>
      <c r="G634" s="7" t="str">
        <f ca="1">IFERROR(__xludf.DUMMYFUNCTION("""COMPUTED_VALUE"""),"Alberto Moreno")</f>
        <v>Alberto Moreno</v>
      </c>
      <c r="R634" s="7"/>
    </row>
    <row r="635" spans="5:18">
      <c r="E635" s="7" t="str">
        <f ca="1">IFERROR(__xludf.DUMMYFUNCTION("""COMPUTED_VALUE"""),"Lucia Prieto Sánchez de la Puerta")</f>
        <v>Lucia Prieto Sánchez de la Puerta</v>
      </c>
      <c r="F635" s="7" t="str">
        <f ca="1">IFERROR(__xludf.DUMMYFUNCTION("""COMPUTED_VALUE"""),"LAA51")</f>
        <v>LAA51</v>
      </c>
      <c r="G635" s="7" t="str">
        <f ca="1">IFERROR(__xludf.DUMMYFUNCTION("""COMPUTED_VALUE"""),"Luis Alberto Rodríguez")</f>
        <v>Luis Alberto Rodríguez</v>
      </c>
      <c r="R635" s="7"/>
    </row>
    <row r="636" spans="5:18">
      <c r="E636" s="7" t="str">
        <f ca="1">IFERROR(__xludf.DUMMYFUNCTION("""COMPUTED_VALUE"""),"Luis Ferrán de la Cierva")</f>
        <v>Luis Ferrán de la Cierva</v>
      </c>
      <c r="F636" s="7" t="str">
        <f ca="1">IFERROR(__xludf.DUMMYFUNCTION("""COMPUTED_VALUE"""),"ISL63")</f>
        <v>ISL63</v>
      </c>
      <c r="G636" s="7" t="str">
        <f ca="1">IFERROR(__xludf.DUMMYFUNCTION("""COMPUTED_VALUE"""),"Iván Sánchez")</f>
        <v>Iván Sánchez</v>
      </c>
      <c r="R636" s="7"/>
    </row>
    <row r="637" spans="5:18">
      <c r="E637" s="7" t="str">
        <f ca="1">IFERROR(__xludf.DUMMYFUNCTION("""COMPUTED_VALUE"""),"Luis Fidel Nieto Hernández")</f>
        <v>Luis Fidel Nieto Hernández</v>
      </c>
      <c r="F637" s="7" t="str">
        <f ca="1">IFERROR(__xludf.DUMMYFUNCTION("""COMPUTED_VALUE"""),"LAA31")</f>
        <v>LAA31</v>
      </c>
      <c r="G637" s="7" t="str">
        <f ca="1">IFERROR(__xludf.DUMMYFUNCTION("""COMPUTED_VALUE"""),"Luis Alberto Rodríguez")</f>
        <v>Luis Alberto Rodríguez</v>
      </c>
      <c r="R637" s="7"/>
    </row>
    <row r="638" spans="5:18">
      <c r="E638" s="7" t="str">
        <f ca="1">IFERROR(__xludf.DUMMYFUNCTION("""COMPUTED_VALUE"""),"Luis Florencio Alba")</f>
        <v>Luis Florencio Alba</v>
      </c>
      <c r="F638" s="7" t="str">
        <f ca="1">IFERROR(__xludf.DUMMYFUNCTION("""COMPUTED_VALUE"""),"LAA32")</f>
        <v>LAA32</v>
      </c>
      <c r="G638" s="7" t="str">
        <f ca="1">IFERROR(__xludf.DUMMYFUNCTION("""COMPUTED_VALUE"""),"Luis Alberto Rodríguez")</f>
        <v>Luis Alberto Rodríguez</v>
      </c>
      <c r="R638" s="7"/>
    </row>
    <row r="639" spans="5:18">
      <c r="E639" s="7" t="str">
        <f ca="1">IFERROR(__xludf.DUMMYFUNCTION("""COMPUTED_VALUE"""),"Luis Francisco Aznar Bartolomé")</f>
        <v>Luis Francisco Aznar Bartolomé</v>
      </c>
      <c r="F639" s="7" t="str">
        <f ca="1">IFERROR(__xludf.DUMMYFUNCTION("""COMPUTED_VALUE"""),"LRM93")</f>
        <v>LRM93</v>
      </c>
      <c r="G639" s="7" t="str">
        <f ca="1">IFERROR(__xludf.DUMMYFUNCTION("""COMPUTED_VALUE"""),"Lisandro Russian")</f>
        <v>Lisandro Russian</v>
      </c>
      <c r="R639" s="7"/>
    </row>
    <row r="640" spans="5:18">
      <c r="E640" s="7" t="str">
        <f ca="1">IFERROR(__xludf.DUMMYFUNCTION("""COMPUTED_VALUE"""),"Luis Guillermo Trevissón Maza")</f>
        <v>Luis Guillermo Trevissón Maza</v>
      </c>
      <c r="F640" s="7" t="str">
        <f ca="1">IFERROR(__xludf.DUMMYFUNCTION("""COMPUTED_VALUE"""),"MBM64")</f>
        <v>MBM64</v>
      </c>
      <c r="G640" s="7" t="str">
        <f ca="1">IFERROR(__xludf.DUMMYFUNCTION("""COMPUTED_VALUE"""),"Maika Blázquez")</f>
        <v>Maika Blázquez</v>
      </c>
      <c r="R640" s="7"/>
    </row>
    <row r="641" spans="5:18">
      <c r="E641" s="7" t="str">
        <f ca="1">IFERROR(__xludf.DUMMYFUNCTION("""COMPUTED_VALUE"""),"Luis Jiménez Ferreres")</f>
        <v>Luis Jiménez Ferreres</v>
      </c>
      <c r="F641" s="7" t="str">
        <f ca="1">IFERROR(__xludf.DUMMYFUNCTION("""COMPUTED_VALUE"""),"LRM94")</f>
        <v>LRM94</v>
      </c>
      <c r="G641" s="7" t="str">
        <f ca="1">IFERROR(__xludf.DUMMYFUNCTION("""COMPUTED_VALUE"""),"Lisandro Russian")</f>
        <v>Lisandro Russian</v>
      </c>
      <c r="R641" s="7"/>
    </row>
    <row r="642" spans="5:18">
      <c r="E642" s="7" t="str">
        <f ca="1">IFERROR(__xludf.DUMMYFUNCTION("""COMPUTED_VALUE"""),"Luis José Domínguez Ugidos")</f>
        <v>Luis José Domínguez Ugidos</v>
      </c>
      <c r="F642" s="7" t="str">
        <f ca="1">IFERROR(__xludf.DUMMYFUNCTION("""COMPUTED_VALUE"""),"PSC21")</f>
        <v>PSC21</v>
      </c>
      <c r="G642" s="7" t="str">
        <f ca="1">IFERROR(__xludf.DUMMYFUNCTION("""COMPUTED_VALUE"""),"Patricia Solache")</f>
        <v>Patricia Solache</v>
      </c>
      <c r="R642" s="7"/>
    </row>
    <row r="643" spans="5:18">
      <c r="E643" s="7" t="str">
        <f ca="1">IFERROR(__xludf.DUMMYFUNCTION("""COMPUTED_VALUE"""),"Luis Martínez Bernabeu")</f>
        <v>Luis Martínez Bernabeu</v>
      </c>
      <c r="F643" s="7" t="str">
        <f ca="1">IFERROR(__xludf.DUMMYFUNCTION("""COMPUTED_VALUE"""),"RFV19")</f>
        <v>RFV19</v>
      </c>
      <c r="G643" s="7" t="str">
        <f ca="1">IFERROR(__xludf.DUMMYFUNCTION("""COMPUTED_VALUE"""),"Ramon Ferrando")</f>
        <v>Ramon Ferrando</v>
      </c>
      <c r="R643" s="7"/>
    </row>
    <row r="644" spans="5:18">
      <c r="E644" s="7" t="str">
        <f ca="1">IFERROR(__xludf.DUMMYFUNCTION("""COMPUTED_VALUE"""),"Luis Megías Gámiz")</f>
        <v>Luis Megías Gámiz</v>
      </c>
      <c r="F644" s="7" t="str">
        <f ca="1">IFERROR(__xludf.DUMMYFUNCTION("""COMPUTED_VALUE"""),"RFV05")</f>
        <v>RFV05</v>
      </c>
      <c r="G644" s="7" t="str">
        <f ca="1">IFERROR(__xludf.DUMMYFUNCTION("""COMPUTED_VALUE"""),"Ramon Ferrando")</f>
        <v>Ramon Ferrando</v>
      </c>
      <c r="R644" s="7"/>
    </row>
    <row r="645" spans="5:18">
      <c r="E645" s="7" t="str">
        <f ca="1">IFERROR(__xludf.DUMMYFUNCTION("""COMPUTED_VALUE"""),"Luis Miguel Carmen Sampériz")</f>
        <v>Luis Miguel Carmen Sampériz</v>
      </c>
      <c r="F645" s="7" t="str">
        <f ca="1">IFERROR(__xludf.DUMMYFUNCTION("""COMPUTED_VALUE"""),"LRM95")</f>
        <v>LRM95</v>
      </c>
      <c r="G645" s="7" t="str">
        <f ca="1">IFERROR(__xludf.DUMMYFUNCTION("""COMPUTED_VALUE"""),"Lisandro Russian")</f>
        <v>Lisandro Russian</v>
      </c>
      <c r="R645" s="7"/>
    </row>
    <row r="646" spans="5:18">
      <c r="E646" s="7" t="str">
        <f ca="1">IFERROR(__xludf.DUMMYFUNCTION("""COMPUTED_VALUE"""),"Luis Miguel Menéndez Colino")</f>
        <v>Luis Miguel Menéndez Colino</v>
      </c>
      <c r="F646" s="7" t="str">
        <f ca="1">IFERROR(__xludf.DUMMYFUNCTION("""COMPUTED_VALUE"""),"LRM96")</f>
        <v>LRM96</v>
      </c>
      <c r="G646" s="7" t="str">
        <f ca="1">IFERROR(__xludf.DUMMYFUNCTION("""COMPUTED_VALUE"""),"Lisandro Russian")</f>
        <v>Lisandro Russian</v>
      </c>
      <c r="R646" s="7"/>
    </row>
    <row r="647" spans="5:18">
      <c r="E647" s="7" t="str">
        <f ca="1">IFERROR(__xludf.DUMMYFUNCTION("""COMPUTED_VALUE"""),"Luis Miguel Menéndez Colino")</f>
        <v>Luis Miguel Menéndez Colino</v>
      </c>
      <c r="F647" s="7" t="str">
        <f ca="1">IFERROR(__xludf.DUMMYFUNCTION("""COMPUTED_VALUE"""),"LRM97")</f>
        <v>LRM97</v>
      </c>
      <c r="G647" s="7" t="str">
        <f ca="1">IFERROR(__xludf.DUMMYFUNCTION("""COMPUTED_VALUE"""),"Lisandro Russian")</f>
        <v>Lisandro Russian</v>
      </c>
      <c r="R647" s="7"/>
    </row>
    <row r="648" spans="5:18">
      <c r="E648" s="7" t="str">
        <f ca="1">IFERROR(__xludf.DUMMYFUNCTION("""COMPUTED_VALUE"""),"Luis Miguel Rincón Esteban")</f>
        <v>Luis Miguel Rincón Esteban</v>
      </c>
      <c r="F648" s="7" t="str">
        <f ca="1">IFERROR(__xludf.DUMMYFUNCTION("""COMPUTED_VALUE"""),"PSC22")</f>
        <v>PSC22</v>
      </c>
      <c r="G648" s="7" t="str">
        <f ca="1">IFERROR(__xludf.DUMMYFUNCTION("""COMPUTED_VALUE"""),"Patricia Solache")</f>
        <v>Patricia Solache</v>
      </c>
      <c r="R648" s="7"/>
    </row>
    <row r="649" spans="5:18">
      <c r="E649" s="7" t="str">
        <f ca="1">IFERROR(__xludf.DUMMYFUNCTION("""COMPUTED_VALUE"""),"Luís Mompó Romero")</f>
        <v>Luís Mompó Romero</v>
      </c>
      <c r="F649" s="7" t="str">
        <f ca="1">IFERROR(__xludf.DUMMYFUNCTION("""COMPUTED_VALUE"""),"RFV20")</f>
        <v>RFV20</v>
      </c>
      <c r="G649" s="7" t="str">
        <f ca="1">IFERROR(__xludf.DUMMYFUNCTION("""COMPUTED_VALUE"""),"Ramon Ferrando")</f>
        <v>Ramon Ferrando</v>
      </c>
      <c r="R649" s="7"/>
    </row>
    <row r="650" spans="5:18">
      <c r="E650" s="7" t="str">
        <f ca="1">IFERROR(__xludf.DUMMYFUNCTION("""COMPUTED_VALUE"""),"Luisa Payá Pérez")</f>
        <v>Luisa Payá Pérez</v>
      </c>
      <c r="F650" s="7" t="str">
        <f ca="1">IFERROR(__xludf.DUMMYFUNCTION("""COMPUTED_VALUE"""),"ISL113")</f>
        <v>ISL113</v>
      </c>
      <c r="G650" s="7" t="str">
        <f ca="1">IFERROR(__xludf.DUMMYFUNCTION("""COMPUTED_VALUE"""),"Iván Sánchez")</f>
        <v>Iván Sánchez</v>
      </c>
      <c r="R650" s="7"/>
    </row>
    <row r="651" spans="5:18">
      <c r="E651" s="7" t="str">
        <f ca="1">IFERROR(__xludf.DUMMYFUNCTION("""COMPUTED_VALUE"""),"Luz Barona Lleo")</f>
        <v>Luz Barona Lleo</v>
      </c>
      <c r="F651" s="7" t="str">
        <f ca="1">IFERROR(__xludf.DUMMYFUNCTION("""COMPUTED_VALUE"""),"ISL114")</f>
        <v>ISL114</v>
      </c>
      <c r="G651" s="7" t="str">
        <f ca="1">IFERROR(__xludf.DUMMYFUNCTION("""COMPUTED_VALUE"""),"Iván Sánchez")</f>
        <v>Iván Sánchez</v>
      </c>
      <c r="R651" s="7"/>
    </row>
    <row r="652" spans="5:18">
      <c r="E652" s="7" t="str">
        <f ca="1">IFERROR(__xludf.DUMMYFUNCTION("""COMPUTED_VALUE"""),"Macarena Falcon")</f>
        <v>Macarena Falcon</v>
      </c>
      <c r="F652" s="7" t="str">
        <f ca="1">IFERROR(__xludf.DUMMYFUNCTION("""COMPUTED_VALUE"""),"LRM176")</f>
        <v>LRM176</v>
      </c>
      <c r="G652" s="7" t="str">
        <f ca="1">IFERROR(__xludf.DUMMYFUNCTION("""COMPUTED_VALUE"""),"Lisandro Russian")</f>
        <v>Lisandro Russian</v>
      </c>
      <c r="R652" s="7"/>
    </row>
    <row r="653" spans="5:18">
      <c r="E653" s="7" t="str">
        <f ca="1">IFERROR(__xludf.DUMMYFUNCTION("""COMPUTED_VALUE"""),"Manuel Acebal Lucía")</f>
        <v>Manuel Acebal Lucía</v>
      </c>
      <c r="F653" s="7" t="str">
        <f ca="1">IFERROR(__xludf.DUMMYFUNCTION("""COMPUTED_VALUE"""),"ISL64")</f>
        <v>ISL64</v>
      </c>
      <c r="G653" s="7" t="str">
        <f ca="1">IFERROR(__xludf.DUMMYFUNCTION("""COMPUTED_VALUE"""),"Iván Sánchez")</f>
        <v>Iván Sánchez</v>
      </c>
      <c r="R653" s="7"/>
    </row>
    <row r="654" spans="5:18">
      <c r="E654" s="7" t="str">
        <f ca="1">IFERROR(__xludf.DUMMYFUNCTION("""COMPUTED_VALUE"""),"Manuel Acuña García")</f>
        <v>Manuel Acuña García</v>
      </c>
      <c r="F654" s="7" t="str">
        <f ca="1">IFERROR(__xludf.DUMMYFUNCTION("""COMPUTED_VALUE"""),"PSC23")</f>
        <v>PSC23</v>
      </c>
      <c r="G654" s="7" t="str">
        <f ca="1">IFERROR(__xludf.DUMMYFUNCTION("""COMPUTED_VALUE"""),"Patricia Solache")</f>
        <v>Patricia Solache</v>
      </c>
      <c r="R654" s="7"/>
    </row>
    <row r="655" spans="5:18">
      <c r="E655" s="7" t="str">
        <f ca="1">IFERROR(__xludf.DUMMYFUNCTION("""COMPUTED_VALUE"""),"Manuel Cañete Domínguez")</f>
        <v>Manuel Cañete Domínguez</v>
      </c>
      <c r="F655" s="7" t="str">
        <f ca="1">IFERROR(__xludf.DUMMYFUNCTION("""COMPUTED_VALUE"""),"LRM98")</f>
        <v>LRM98</v>
      </c>
      <c r="G655" s="7" t="str">
        <f ca="1">IFERROR(__xludf.DUMMYFUNCTION("""COMPUTED_VALUE"""),"Lisandro Russian")</f>
        <v>Lisandro Russian</v>
      </c>
      <c r="R655" s="7"/>
    </row>
    <row r="656" spans="5:18">
      <c r="E656" s="7" t="str">
        <f ca="1">IFERROR(__xludf.DUMMYFUNCTION("""COMPUTED_VALUE"""),"Manuel Estevez García")</f>
        <v>Manuel Estevez García</v>
      </c>
      <c r="F656" s="7" t="str">
        <f ca="1">IFERROR(__xludf.DUMMYFUNCTION("""COMPUTED_VALUE"""),"RPG27")</f>
        <v>RPG27</v>
      </c>
      <c r="G656" s="7" t="str">
        <f ca="1">IFERROR(__xludf.DUMMYFUNCTION("""COMPUTED_VALUE"""),"Roberto Pereira")</f>
        <v>Roberto Pereira</v>
      </c>
      <c r="R656" s="7"/>
    </row>
    <row r="657" spans="5:18">
      <c r="E657" s="7" t="str">
        <f ca="1">IFERROR(__xludf.DUMMYFUNCTION("""COMPUTED_VALUE"""),"Manuel García Cantos")</f>
        <v>Manuel García Cantos</v>
      </c>
      <c r="F657" s="7" t="str">
        <f ca="1">IFERROR(__xludf.DUMMYFUNCTION("""COMPUTED_VALUE"""),"LRM99")</f>
        <v>LRM99</v>
      </c>
      <c r="G657" s="7" t="str">
        <f ca="1">IFERROR(__xludf.DUMMYFUNCTION("""COMPUTED_VALUE"""),"Lisandro Russian")</f>
        <v>Lisandro Russian</v>
      </c>
      <c r="R657" s="7"/>
    </row>
    <row r="658" spans="5:18">
      <c r="E658" s="7" t="str">
        <f ca="1">IFERROR(__xludf.DUMMYFUNCTION("""COMPUTED_VALUE"""),"Manuel García López")</f>
        <v>Manuel García López</v>
      </c>
      <c r="F658" s="7" t="str">
        <f ca="1">IFERROR(__xludf.DUMMYFUNCTION("""COMPUTED_VALUE"""),"ISL65")</f>
        <v>ISL65</v>
      </c>
      <c r="G658" s="7" t="str">
        <f ca="1">IFERROR(__xludf.DUMMYFUNCTION("""COMPUTED_VALUE"""),"Iván Sánchez")</f>
        <v>Iván Sánchez</v>
      </c>
      <c r="R658" s="7"/>
    </row>
    <row r="659" spans="5:18">
      <c r="E659" s="7" t="str">
        <f ca="1">IFERROR(__xludf.DUMMYFUNCTION("""COMPUTED_VALUE"""),"Manuel Gómez Fiñana")</f>
        <v>Manuel Gómez Fiñana</v>
      </c>
      <c r="F659" s="7" t="str">
        <f ca="1">IFERROR(__xludf.DUMMYFUNCTION("""COMPUTED_VALUE"""),"RFV06")</f>
        <v>RFV06</v>
      </c>
      <c r="G659" s="7" t="str">
        <f ca="1">IFERROR(__xludf.DUMMYFUNCTION("""COMPUTED_VALUE"""),"Ramon Ferrando")</f>
        <v>Ramon Ferrando</v>
      </c>
      <c r="R659" s="7"/>
    </row>
    <row r="660" spans="5:18">
      <c r="E660" s="7" t="str">
        <f ca="1">IFERROR(__xludf.DUMMYFUNCTION("""COMPUTED_VALUE"""),"Manuel Gomez Serrano")</f>
        <v>Manuel Gomez Serrano</v>
      </c>
      <c r="F660" s="7" t="str">
        <f ca="1">IFERROR(__xludf.DUMMYFUNCTION("""COMPUTED_VALUE"""),"LRM100")</f>
        <v>LRM100</v>
      </c>
      <c r="G660" s="7" t="str">
        <f ca="1">IFERROR(__xludf.DUMMYFUNCTION("""COMPUTED_VALUE"""),"Lisandro Russian")</f>
        <v>Lisandro Russian</v>
      </c>
      <c r="R660" s="7"/>
    </row>
    <row r="661" spans="5:18">
      <c r="E661" s="7" t="str">
        <f ca="1">IFERROR(__xludf.DUMMYFUNCTION("""COMPUTED_VALUE"""),"Manuel González Juliano")</f>
        <v>Manuel González Juliano</v>
      </c>
      <c r="F661" s="7" t="str">
        <f ca="1">IFERROR(__xludf.DUMMYFUNCTION("""COMPUTED_VALUE"""),"LRM238")</f>
        <v>LRM238</v>
      </c>
      <c r="G661" s="7" t="str">
        <f ca="1">IFERROR(__xludf.DUMMYFUNCTION("""COMPUTED_VALUE"""),"Lisandro Russian")</f>
        <v>Lisandro Russian</v>
      </c>
      <c r="R661" s="7"/>
    </row>
    <row r="662" spans="5:18">
      <c r="E662" s="7" t="str">
        <f ca="1">IFERROR(__xludf.DUMMYFUNCTION("""COMPUTED_VALUE"""),"Manuel González Juliao")</f>
        <v>Manuel González Juliao</v>
      </c>
      <c r="F662" s="7" t="str">
        <f ca="1">IFERROR(__xludf.DUMMYFUNCTION("""COMPUTED_VALUE"""),"MBM65")</f>
        <v>MBM65</v>
      </c>
      <c r="G662" s="7" t="str">
        <f ca="1">IFERROR(__xludf.DUMMYFUNCTION("""COMPUTED_VALUE"""),"Maika Blázquez")</f>
        <v>Maika Blázquez</v>
      </c>
      <c r="R662" s="7"/>
    </row>
    <row r="663" spans="5:18">
      <c r="E663" s="7" t="str">
        <f ca="1">IFERROR(__xludf.DUMMYFUNCTION("""COMPUTED_VALUE"""),"Manuel Gutiérrez Triguero")</f>
        <v>Manuel Gutiérrez Triguero</v>
      </c>
      <c r="F663" s="7" t="str">
        <f ca="1">IFERROR(__xludf.DUMMYFUNCTION("""COMPUTED_VALUE"""),"MBM66")</f>
        <v>MBM66</v>
      </c>
      <c r="G663" s="7" t="str">
        <f ca="1">IFERROR(__xludf.DUMMYFUNCTION("""COMPUTED_VALUE"""),"Maika Blázquez")</f>
        <v>Maika Blázquez</v>
      </c>
      <c r="R663" s="7"/>
    </row>
    <row r="664" spans="5:18">
      <c r="E664" s="7" t="str">
        <f ca="1">IFERROR(__xludf.DUMMYFUNCTION("""COMPUTED_VALUE"""),"Manuel Martí Peña")</f>
        <v>Manuel Martí Peña</v>
      </c>
      <c r="F664" s="7" t="str">
        <f ca="1">IFERROR(__xludf.DUMMYFUNCTION("""COMPUTED_VALUE"""),"LRM101")</f>
        <v>LRM101</v>
      </c>
      <c r="G664" s="7" t="str">
        <f ca="1">IFERROR(__xludf.DUMMYFUNCTION("""COMPUTED_VALUE"""),"Lisandro Russian")</f>
        <v>Lisandro Russian</v>
      </c>
      <c r="R664" s="7"/>
    </row>
    <row r="665" spans="5:18">
      <c r="E665" s="7" t="str">
        <f ca="1">IFERROR(__xludf.DUMMYFUNCTION("""COMPUTED_VALUE"""),"Manuel Mateos Fernández")</f>
        <v>Manuel Mateos Fernández</v>
      </c>
      <c r="F665" s="7" t="str">
        <f ca="1">IFERROR(__xludf.DUMMYFUNCTION("""COMPUTED_VALUE"""),"RFV21")</f>
        <v>RFV21</v>
      </c>
      <c r="G665" s="7" t="str">
        <f ca="1">IFERROR(__xludf.DUMMYFUNCTION("""COMPUTED_VALUE"""),"Ramon Ferrando")</f>
        <v>Ramon Ferrando</v>
      </c>
      <c r="R665" s="7"/>
    </row>
    <row r="666" spans="5:18">
      <c r="E666" s="7" t="str">
        <f ca="1">IFERROR(__xludf.DUMMYFUNCTION("""COMPUTED_VALUE"""),"Manuel Miranda Ostos")</f>
        <v>Manuel Miranda Ostos</v>
      </c>
      <c r="F666" s="7" t="str">
        <f ca="1">IFERROR(__xludf.DUMMYFUNCTION("""COMPUTED_VALUE"""),"ISL66")</f>
        <v>ISL66</v>
      </c>
      <c r="G666" s="7" t="str">
        <f ca="1">IFERROR(__xludf.DUMMYFUNCTION("""COMPUTED_VALUE"""),"Iván Sánchez")</f>
        <v>Iván Sánchez</v>
      </c>
      <c r="R666" s="7"/>
    </row>
    <row r="667" spans="5:18">
      <c r="E667" s="7" t="str">
        <f ca="1">IFERROR(__xludf.DUMMYFUNCTION("""COMPUTED_VALUE"""),"Manuel Moro Melón")</f>
        <v>Manuel Moro Melón</v>
      </c>
      <c r="F667" s="7" t="str">
        <f ca="1">IFERROR(__xludf.DUMMYFUNCTION("""COMPUTED_VALUE"""),"AMM12")</f>
        <v>AMM12</v>
      </c>
      <c r="G667" s="7" t="str">
        <f ca="1">IFERROR(__xludf.DUMMYFUNCTION("""COMPUTED_VALUE"""),"Alberto Moreno")</f>
        <v>Alberto Moreno</v>
      </c>
      <c r="R667" s="7"/>
    </row>
    <row r="668" spans="5:18">
      <c r="E668" s="7" t="str">
        <f ca="1">IFERROR(__xludf.DUMMYFUNCTION("""COMPUTED_VALUE"""),"Manuel Padilla Parrado")</f>
        <v>Manuel Padilla Parrado</v>
      </c>
      <c r="F668" s="7" t="str">
        <f ca="1">IFERROR(__xludf.DUMMYFUNCTION("""COMPUTED_VALUE"""),"LRM102")</f>
        <v>LRM102</v>
      </c>
      <c r="G668" s="7" t="str">
        <f ca="1">IFERROR(__xludf.DUMMYFUNCTION("""COMPUTED_VALUE"""),"Lisandro Russian")</f>
        <v>Lisandro Russian</v>
      </c>
      <c r="R668" s="7"/>
    </row>
    <row r="669" spans="5:18">
      <c r="E669" s="7" t="str">
        <f ca="1">IFERROR(__xludf.DUMMYFUNCTION("""COMPUTED_VALUE"""),"Manuel Segundo Gómez Fiñana")</f>
        <v>Manuel Segundo Gómez Fiñana</v>
      </c>
      <c r="F669" s="7" t="str">
        <f ca="1">IFERROR(__xludf.DUMMYFUNCTION("""COMPUTED_VALUE"""),"LAA33")</f>
        <v>LAA33</v>
      </c>
      <c r="G669" s="7" t="str">
        <f ca="1">IFERROR(__xludf.DUMMYFUNCTION("""COMPUTED_VALUE"""),"Luis Alberto Rodríguez")</f>
        <v>Luis Alberto Rodríguez</v>
      </c>
      <c r="R669" s="7"/>
    </row>
    <row r="670" spans="5:18">
      <c r="E670" s="7" t="str">
        <f ca="1">IFERROR(__xludf.DUMMYFUNCTION("""COMPUTED_VALUE"""),"Manuel Tucciarone")</f>
        <v>Manuel Tucciarone</v>
      </c>
      <c r="F670" s="7" t="str">
        <f ca="1">IFERROR(__xludf.DUMMYFUNCTION("""COMPUTED_VALUE"""),"LAA81")</f>
        <v>LAA81</v>
      </c>
      <c r="G670" s="7" t="str">
        <f ca="1">IFERROR(__xludf.DUMMYFUNCTION("""COMPUTED_VALUE"""),"Luis Alberto Rodríguez")</f>
        <v>Luis Alberto Rodríguez</v>
      </c>
      <c r="R670" s="7"/>
    </row>
    <row r="671" spans="5:18">
      <c r="E671" s="7" t="str">
        <f ca="1">IFERROR(__xludf.DUMMYFUNCTION("""COMPUTED_VALUE"""),"Manuela Calderón Sánchez")</f>
        <v>Manuela Calderón Sánchez</v>
      </c>
      <c r="F671" s="7" t="str">
        <f ca="1">IFERROR(__xludf.DUMMYFUNCTION("""COMPUTED_VALUE"""),"MBM138")</f>
        <v>MBM138</v>
      </c>
      <c r="G671" s="7" t="str">
        <f ca="1">IFERROR(__xludf.DUMMYFUNCTION("""COMPUTED_VALUE"""),"Maika Blázquez")</f>
        <v>Maika Blázquez</v>
      </c>
      <c r="R671" s="7"/>
    </row>
    <row r="672" spans="5:18">
      <c r="E672" s="7" t="str">
        <f ca="1">IFERROR(__xludf.DUMMYFUNCTION("""COMPUTED_VALUE"""),"Manuela Gil Calero")</f>
        <v>Manuela Gil Calero</v>
      </c>
      <c r="F672" s="7" t="str">
        <f ca="1">IFERROR(__xludf.DUMMYFUNCTION("""COMPUTED_VALUE"""),"LRM177")</f>
        <v>LRM177</v>
      </c>
      <c r="G672" s="7" t="str">
        <f ca="1">IFERROR(__xludf.DUMMYFUNCTION("""COMPUTED_VALUE"""),"Lisandro Russian")</f>
        <v>Lisandro Russian</v>
      </c>
      <c r="R672" s="7"/>
    </row>
    <row r="673" spans="5:18">
      <c r="E673" s="7" t="str">
        <f ca="1">IFERROR(__xludf.DUMMYFUNCTION("""COMPUTED_VALUE"""),"Mar Gimeno Coret")</f>
        <v>Mar Gimeno Coret</v>
      </c>
      <c r="F673" s="7" t="str">
        <f ca="1">IFERROR(__xludf.DUMMYFUNCTION("""COMPUTED_VALUE"""),"RFV46")</f>
        <v>RFV46</v>
      </c>
      <c r="G673" s="7" t="str">
        <f ca="1">IFERROR(__xludf.DUMMYFUNCTION("""COMPUTED_VALUE"""),"Ramon Ferrando")</f>
        <v>Ramon Ferrando</v>
      </c>
      <c r="R673" s="7"/>
    </row>
    <row r="674" spans="5:18">
      <c r="E674" s="7" t="str">
        <f ca="1">IFERROR(__xludf.DUMMYFUNCTION("""COMPUTED_VALUE"""),"Mar Grau Jiménez")</f>
        <v>Mar Grau Jiménez</v>
      </c>
      <c r="F674" s="7" t="str">
        <f ca="1">IFERROR(__xludf.DUMMYFUNCTION("""COMPUTED_VALUE"""),"ISL115")</f>
        <v>ISL115</v>
      </c>
      <c r="G674" s="7" t="str">
        <f ca="1">IFERROR(__xludf.DUMMYFUNCTION("""COMPUTED_VALUE"""),"Iván Sánchez")</f>
        <v>Iván Sánchez</v>
      </c>
      <c r="R674" s="7"/>
    </row>
    <row r="675" spans="5:18">
      <c r="E675" s="7" t="str">
        <f ca="1">IFERROR(__xludf.DUMMYFUNCTION("""COMPUTED_VALUE"""),"Mar Lasso De La Vega Zamora")</f>
        <v>Mar Lasso De La Vega Zamora</v>
      </c>
      <c r="F675" s="7" t="str">
        <f ca="1">IFERROR(__xludf.DUMMYFUNCTION("""COMPUTED_VALUE"""),"MBM108")</f>
        <v>MBM108</v>
      </c>
      <c r="G675" s="7" t="str">
        <f ca="1">IFERROR(__xludf.DUMMYFUNCTION("""COMPUTED_VALUE"""),"Maika Blázquez")</f>
        <v>Maika Blázquez</v>
      </c>
      <c r="R675" s="7"/>
    </row>
    <row r="676" spans="5:18">
      <c r="E676" s="7" t="str">
        <f ca="1">IFERROR(__xludf.DUMMYFUNCTION("""COMPUTED_VALUE"""),"Mar Lasso De La Vega Zamora")</f>
        <v>Mar Lasso De La Vega Zamora</v>
      </c>
      <c r="F676" s="7" t="str">
        <f ca="1">IFERROR(__xludf.DUMMYFUNCTION("""COMPUTED_VALUE"""),"MBM139")</f>
        <v>MBM139</v>
      </c>
      <c r="G676" s="7" t="str">
        <f ca="1">IFERROR(__xludf.DUMMYFUNCTION("""COMPUTED_VALUE"""),"Maika Blázquez")</f>
        <v>Maika Blázquez</v>
      </c>
      <c r="R676" s="7"/>
    </row>
    <row r="677" spans="5:18">
      <c r="E677" s="7" t="str">
        <f ca="1">IFERROR(__xludf.DUMMYFUNCTION("""COMPUTED_VALUE"""),"Marcial Sánchez Potenciado")</f>
        <v>Marcial Sánchez Potenciado</v>
      </c>
      <c r="F677" s="7" t="str">
        <f ca="1">IFERROR(__xludf.DUMMYFUNCTION("""COMPUTED_VALUE"""),"LRM103")</f>
        <v>LRM103</v>
      </c>
      <c r="G677" s="7" t="str">
        <f ca="1">IFERROR(__xludf.DUMMYFUNCTION("""COMPUTED_VALUE"""),"Lisandro Russian")</f>
        <v>Lisandro Russian</v>
      </c>
      <c r="R677" s="7"/>
    </row>
    <row r="678" spans="5:18">
      <c r="E678" s="7" t="str">
        <f ca="1">IFERROR(__xludf.DUMMYFUNCTION("""COMPUTED_VALUE"""),"Margarita Nieves Rodríguez")</f>
        <v>Margarita Nieves Rodríguez</v>
      </c>
      <c r="F678" s="7" t="str">
        <f ca="1">IFERROR(__xludf.DUMMYFUNCTION("""COMPUTED_VALUE"""),"LRM178")</f>
        <v>LRM178</v>
      </c>
      <c r="G678" s="7" t="str">
        <f ca="1">IFERROR(__xludf.DUMMYFUNCTION("""COMPUTED_VALUE"""),"Lisandro Russian")</f>
        <v>Lisandro Russian</v>
      </c>
      <c r="R678" s="7"/>
    </row>
    <row r="679" spans="5:18">
      <c r="E679" s="7" t="str">
        <f ca="1">IFERROR(__xludf.DUMMYFUNCTION("""COMPUTED_VALUE"""),"Margarita Reyes Díaz")</f>
        <v>Margarita Reyes Díaz</v>
      </c>
      <c r="F679" s="7" t="str">
        <f ca="1">IFERROR(__xludf.DUMMYFUNCTION("""COMPUTED_VALUE"""),"RPG50")</f>
        <v>RPG50</v>
      </c>
      <c r="G679" s="7" t="str">
        <f ca="1">IFERROR(__xludf.DUMMYFUNCTION("""COMPUTED_VALUE"""),"Roberto Pereira")</f>
        <v>Roberto Pereira</v>
      </c>
      <c r="R679" s="7"/>
    </row>
    <row r="680" spans="5:18">
      <c r="E680" s="7" t="str">
        <f ca="1">IFERROR(__xludf.DUMMYFUNCTION("""COMPUTED_VALUE"""),"María Agustina Sevilla García")</f>
        <v>María Agustina Sevilla García</v>
      </c>
      <c r="F680" s="7" t="str">
        <f ca="1">IFERROR(__xludf.DUMMYFUNCTION("""COMPUTED_VALUE"""),"ISL122")</f>
        <v>ISL122</v>
      </c>
      <c r="G680" s="7" t="str">
        <f ca="1">IFERROR(__xludf.DUMMYFUNCTION("""COMPUTED_VALUE"""),"Iván Sánchez")</f>
        <v>Iván Sánchez</v>
      </c>
      <c r="R680" s="7"/>
    </row>
    <row r="681" spans="5:18">
      <c r="E681" s="7" t="str">
        <f ca="1">IFERROR(__xludf.DUMMYFUNCTION("""COMPUTED_VALUE"""),"María Amparo Álvarez De Toledo Jeute")</f>
        <v>María Amparo Álvarez De Toledo Jeute</v>
      </c>
      <c r="F681" s="7" t="str">
        <f ca="1">IFERROR(__xludf.DUMMYFUNCTION("""COMPUTED_VALUE"""),"LAA52")</f>
        <v>LAA52</v>
      </c>
      <c r="G681" s="7" t="str">
        <f ca="1">IFERROR(__xludf.DUMMYFUNCTION("""COMPUTED_VALUE"""),"Luis Alberto Rodríguez")</f>
        <v>Luis Alberto Rodríguez</v>
      </c>
      <c r="R681" s="7"/>
    </row>
    <row r="682" spans="5:18">
      <c r="E682" s="7" t="str">
        <f ca="1">IFERROR(__xludf.DUMMYFUNCTION("""COMPUTED_VALUE"""),"María Amparo Castellote Arnero")</f>
        <v>María Amparo Castellote Arnero</v>
      </c>
      <c r="F682" s="7" t="str">
        <f ca="1">IFERROR(__xludf.DUMMYFUNCTION("""COMPUTED_VALUE"""),"AMM15")</f>
        <v>AMM15</v>
      </c>
      <c r="G682" s="7" t="str">
        <f ca="1">IFERROR(__xludf.DUMMYFUNCTION("""COMPUTED_VALUE"""),"Alberto Moreno")</f>
        <v>Alberto Moreno</v>
      </c>
      <c r="R682" s="7"/>
    </row>
    <row r="683" spans="5:18">
      <c r="E683" s="7" t="str">
        <f ca="1">IFERROR(__xludf.DUMMYFUNCTION("""COMPUTED_VALUE"""),"María Ángeles Herreros Sánchez")</f>
        <v>María Ángeles Herreros Sánchez</v>
      </c>
      <c r="F683" s="7" t="str">
        <f ca="1">IFERROR(__xludf.DUMMYFUNCTION("""COMPUTED_VALUE"""),"LRM242")</f>
        <v>LRM242</v>
      </c>
      <c r="G683" s="7" t="str">
        <f ca="1">IFERROR(__xludf.DUMMYFUNCTION("""COMPUTED_VALUE"""),"Lisandro Russian")</f>
        <v>Lisandro Russian</v>
      </c>
      <c r="R683" s="7"/>
    </row>
    <row r="684" spans="5:18">
      <c r="E684" s="7" t="str">
        <f ca="1">IFERROR(__xludf.DUMMYFUNCTION("""COMPUTED_VALUE"""),"Maria Ángeles Mate Bayon")</f>
        <v>Maria Ángeles Mate Bayon</v>
      </c>
      <c r="F684" s="7" t="str">
        <f ca="1">IFERROR(__xludf.DUMMYFUNCTION("""COMPUTED_VALUE"""),"LRM179")</f>
        <v>LRM179</v>
      </c>
      <c r="G684" s="7" t="str">
        <f ca="1">IFERROR(__xludf.DUMMYFUNCTION("""COMPUTED_VALUE"""),"Lisandro Russian")</f>
        <v>Lisandro Russian</v>
      </c>
      <c r="R684" s="7"/>
    </row>
    <row r="685" spans="5:18">
      <c r="E685" s="7" t="str">
        <f ca="1">IFERROR(__xludf.DUMMYFUNCTION("""COMPUTED_VALUE"""),"María Antonia Claveria Puig")</f>
        <v>María Antonia Claveria Puig</v>
      </c>
      <c r="F685" s="7" t="str">
        <f ca="1">IFERROR(__xludf.DUMMYFUNCTION("""COMPUTED_VALUE"""),"MCC48")</f>
        <v>MCC48</v>
      </c>
      <c r="G685" s="7" t="str">
        <f ca="1">IFERROR(__xludf.DUMMYFUNCTION("""COMPUTED_VALUE"""),"Mercè Cabrera")</f>
        <v>Mercè Cabrera</v>
      </c>
      <c r="R685" s="7"/>
    </row>
    <row r="686" spans="5:18">
      <c r="E686" s="7" t="str">
        <f ca="1">IFERROR(__xludf.DUMMYFUNCTION("""COMPUTED_VALUE"""),"María Antonia Rodríguez Castejón")</f>
        <v>María Antonia Rodríguez Castejón</v>
      </c>
      <c r="F686" s="7" t="str">
        <f ca="1">IFERROR(__xludf.DUMMYFUNCTION("""COMPUTED_VALUE"""),"MBM140")</f>
        <v>MBM140</v>
      </c>
      <c r="G686" s="7" t="str">
        <f ca="1">IFERROR(__xludf.DUMMYFUNCTION("""COMPUTED_VALUE"""),"Maika Blázquez")</f>
        <v>Maika Blázquez</v>
      </c>
      <c r="R686" s="7"/>
    </row>
    <row r="687" spans="5:18">
      <c r="E687" s="7" t="str">
        <f ca="1">IFERROR(__xludf.DUMMYFUNCTION("""COMPUTED_VALUE"""),"María Begoña Capella Soriano")</f>
        <v>María Begoña Capella Soriano</v>
      </c>
      <c r="F687" s="7" t="str">
        <f ca="1">IFERROR(__xludf.DUMMYFUNCTION("""COMPUTED_VALUE"""),"RFV41")</f>
        <v>RFV41</v>
      </c>
      <c r="G687" s="7" t="str">
        <f ca="1">IFERROR(__xludf.DUMMYFUNCTION("""COMPUTED_VALUE"""),"Ramon Ferrando")</f>
        <v>Ramon Ferrando</v>
      </c>
      <c r="R687" s="7"/>
    </row>
    <row r="688" spans="5:18">
      <c r="E688" s="7" t="str">
        <f ca="1">IFERROR(__xludf.DUMMYFUNCTION("""COMPUTED_VALUE"""),"María Benavides Gabernet")</f>
        <v>María Benavides Gabernet</v>
      </c>
      <c r="F688" s="7" t="str">
        <f ca="1">IFERROR(__xludf.DUMMYFUNCTION("""COMPUTED_VALUE"""),"LRM180")</f>
        <v>LRM180</v>
      </c>
      <c r="G688" s="7" t="str">
        <f ca="1">IFERROR(__xludf.DUMMYFUNCTION("""COMPUTED_VALUE"""),"Lisandro Russian")</f>
        <v>Lisandro Russian</v>
      </c>
      <c r="R688" s="7"/>
    </row>
    <row r="689" spans="5:18">
      <c r="E689" s="7" t="str">
        <f ca="1">IFERROR(__xludf.DUMMYFUNCTION("""COMPUTED_VALUE"""),"María Carmen Reyes Marín")</f>
        <v>María Carmen Reyes Marín</v>
      </c>
      <c r="F689" s="7" t="str">
        <f ca="1">IFERROR(__xludf.DUMMYFUNCTION("""COMPUTED_VALUE"""),"MBM142")</f>
        <v>MBM142</v>
      </c>
      <c r="G689" s="7" t="str">
        <f ca="1">IFERROR(__xludf.DUMMYFUNCTION("""COMPUTED_VALUE"""),"Maika Blázquez")</f>
        <v>Maika Blázquez</v>
      </c>
      <c r="R689" s="7"/>
    </row>
    <row r="690" spans="5:18">
      <c r="E690" s="7" t="str">
        <f ca="1">IFERROR(__xludf.DUMMYFUNCTION("""COMPUTED_VALUE"""),"María Cecilia Scola Torres")</f>
        <v>María Cecilia Scola Torres</v>
      </c>
      <c r="F690" s="7" t="str">
        <f ca="1">IFERROR(__xludf.DUMMYFUNCTION("""COMPUTED_VALUE"""),"MBM201")</f>
        <v>MBM201</v>
      </c>
      <c r="G690" s="7" t="str">
        <f ca="1">IFERROR(__xludf.DUMMYFUNCTION("""COMPUTED_VALUE"""),"Maika Blázquez")</f>
        <v>Maika Blázquez</v>
      </c>
      <c r="R690" s="7"/>
    </row>
    <row r="691" spans="5:18">
      <c r="E691" s="7" t="str">
        <f ca="1">IFERROR(__xludf.DUMMYFUNCTION("""COMPUTED_VALUE"""),"María Consolación Martín Pascual")</f>
        <v>María Consolación Martín Pascual</v>
      </c>
      <c r="F691" s="7" t="str">
        <f ca="1">IFERROR(__xludf.DUMMYFUNCTION("""COMPUTED_VALUE"""),"PSC40")</f>
        <v>PSC40</v>
      </c>
      <c r="G691" s="7" t="str">
        <f ca="1">IFERROR(__xludf.DUMMYFUNCTION("""COMPUTED_VALUE"""),"Patricia Solache")</f>
        <v>Patricia Solache</v>
      </c>
      <c r="R691" s="7"/>
    </row>
    <row r="692" spans="5:18">
      <c r="E692" s="7" t="str">
        <f ca="1">IFERROR(__xludf.DUMMYFUNCTION("""COMPUTED_VALUE"""),"Maria Costales Marcos")</f>
        <v>Maria Costales Marcos</v>
      </c>
      <c r="F692" s="7" t="str">
        <f ca="1">IFERROR(__xludf.DUMMYFUNCTION("""COMPUTED_VALUE"""),"PSC41")</f>
        <v>PSC41</v>
      </c>
      <c r="G692" s="7" t="str">
        <f ca="1">IFERROR(__xludf.DUMMYFUNCTION("""COMPUTED_VALUE"""),"Patricia Solache")</f>
        <v>Patricia Solache</v>
      </c>
      <c r="R692" s="7"/>
    </row>
    <row r="693" spans="5:18">
      <c r="E693" s="7" t="str">
        <f ca="1">IFERROR(__xludf.DUMMYFUNCTION("""COMPUTED_VALUE"""),"María Covadonga Gómez Díaz")</f>
        <v>María Covadonga Gómez Díaz</v>
      </c>
      <c r="F693" s="7" t="str">
        <f ca="1">IFERROR(__xludf.DUMMYFUNCTION("""COMPUTED_VALUE"""),"LRM181")</f>
        <v>LRM181</v>
      </c>
      <c r="G693" s="7" t="str">
        <f ca="1">IFERROR(__xludf.DUMMYFUNCTION("""COMPUTED_VALUE"""),"Lisandro Russian")</f>
        <v>Lisandro Russian</v>
      </c>
      <c r="R693" s="7"/>
    </row>
    <row r="694" spans="5:18">
      <c r="E694" s="7" t="str">
        <f ca="1">IFERROR(__xludf.DUMMYFUNCTION("""COMPUTED_VALUE"""),"María Cristina Navas Molinero")</f>
        <v>María Cristina Navas Molinero</v>
      </c>
      <c r="F694" s="7" t="str">
        <f ca="1">IFERROR(__xludf.DUMMYFUNCTION("""COMPUTED_VALUE"""),"LRM182")</f>
        <v>LRM182</v>
      </c>
      <c r="G694" s="7" t="str">
        <f ca="1">IFERROR(__xludf.DUMMYFUNCTION("""COMPUTED_VALUE"""),"Lisandro Russian")</f>
        <v>Lisandro Russian</v>
      </c>
      <c r="R694" s="7"/>
    </row>
    <row r="695" spans="5:18">
      <c r="E695" s="7" t="str">
        <f ca="1">IFERROR(__xludf.DUMMYFUNCTION("""COMPUTED_VALUE"""),"María Cruz Iglesias Moreno")</f>
        <v>María Cruz Iglesias Moreno</v>
      </c>
      <c r="F695" s="7" t="str">
        <f ca="1">IFERROR(__xludf.DUMMYFUNCTION("""COMPUTED_VALUE"""),"LRM183")</f>
        <v>LRM183</v>
      </c>
      <c r="G695" s="7" t="str">
        <f ca="1">IFERROR(__xludf.DUMMYFUNCTION("""COMPUTED_VALUE"""),"Lisandro Russian")</f>
        <v>Lisandro Russian</v>
      </c>
      <c r="R695" s="7"/>
    </row>
    <row r="696" spans="5:18">
      <c r="E696" s="7" t="str">
        <f ca="1">IFERROR(__xludf.DUMMYFUNCTION("""COMPUTED_VALUE"""),"María Dablanco Blanco")</f>
        <v>María Dablanco Blanco</v>
      </c>
      <c r="F696" s="7" t="str">
        <f ca="1">IFERROR(__xludf.DUMMYFUNCTION("""COMPUTED_VALUE"""),"MBM143")</f>
        <v>MBM143</v>
      </c>
      <c r="G696" s="7" t="str">
        <f ca="1">IFERROR(__xludf.DUMMYFUNCTION("""COMPUTED_VALUE"""),"Maika Blázquez")</f>
        <v>Maika Blázquez</v>
      </c>
      <c r="R696" s="7"/>
    </row>
    <row r="697" spans="5:18">
      <c r="E697" s="7" t="str">
        <f ca="1">IFERROR(__xludf.DUMMYFUNCTION("""COMPUTED_VALUE"""),"María De La Paz Coloma Grau")</f>
        <v>María De La Paz Coloma Grau</v>
      </c>
      <c r="F697" s="7" t="str">
        <f ca="1">IFERROR(__xludf.DUMMYFUNCTION("""COMPUTED_VALUE"""),"LRM149")</f>
        <v>LRM149</v>
      </c>
      <c r="G697" s="7" t="str">
        <f ca="1">IFERROR(__xludf.DUMMYFUNCTION("""COMPUTED_VALUE"""),"Lisandro Russian")</f>
        <v>Lisandro Russian</v>
      </c>
      <c r="R697" s="7"/>
    </row>
    <row r="698" spans="5:18">
      <c r="E698" s="7" t="str">
        <f ca="1">IFERROR(__xludf.DUMMYFUNCTION("""COMPUTED_VALUE"""),"Maria Del Carmen Salom Coveñas")</f>
        <v>Maria Del Carmen Salom Coveñas</v>
      </c>
      <c r="F698" s="7" t="str">
        <f ca="1">IFERROR(__xludf.DUMMYFUNCTION("""COMPUTED_VALUE"""),"LAA78")</f>
        <v>LAA78</v>
      </c>
      <c r="G698" s="7" t="str">
        <f ca="1">IFERROR(__xludf.DUMMYFUNCTION("""COMPUTED_VALUE"""),"Luis Alberto Rodríguez")</f>
        <v>Luis Alberto Rodríguez</v>
      </c>
      <c r="R698" s="7"/>
    </row>
    <row r="699" spans="5:18">
      <c r="E699" s="7" t="str">
        <f ca="1">IFERROR(__xludf.DUMMYFUNCTION("""COMPUTED_VALUE"""),"María Del Mar Bodoque Cano")</f>
        <v>María Del Mar Bodoque Cano</v>
      </c>
      <c r="F699" s="7" t="str">
        <f ca="1">IFERROR(__xludf.DUMMYFUNCTION("""COMPUTED_VALUE"""),"MBM144")</f>
        <v>MBM144</v>
      </c>
      <c r="G699" s="7" t="str">
        <f ca="1">IFERROR(__xludf.DUMMYFUNCTION("""COMPUTED_VALUE"""),"Maika Blázquez")</f>
        <v>Maika Blázquez</v>
      </c>
      <c r="R699" s="7"/>
    </row>
    <row r="700" spans="5:18">
      <c r="E700" s="7" t="str">
        <f ca="1">IFERROR(__xludf.DUMMYFUNCTION("""COMPUTED_VALUE"""),"María Del Mar Martínez Ruiz-coello")</f>
        <v>María Del Mar Martínez Ruiz-coello</v>
      </c>
      <c r="F700" s="7" t="str">
        <f ca="1">IFERROR(__xludf.DUMMYFUNCTION("""COMPUTED_VALUE"""),"MBM145")</f>
        <v>MBM145</v>
      </c>
      <c r="G700" s="7" t="str">
        <f ca="1">IFERROR(__xludf.DUMMYFUNCTION("""COMPUTED_VALUE"""),"Maika Blázquez")</f>
        <v>Maika Blázquez</v>
      </c>
      <c r="R700" s="7"/>
    </row>
    <row r="701" spans="5:18">
      <c r="E701" s="7" t="str">
        <f ca="1">IFERROR(__xludf.DUMMYFUNCTION("""COMPUTED_VALUE"""),"María Del Mar Medina González")</f>
        <v>María Del Mar Medina González</v>
      </c>
      <c r="F701" s="7" t="str">
        <f ca="1">IFERROR(__xludf.DUMMYFUNCTION("""COMPUTED_VALUE"""),"MBM146")</f>
        <v>MBM146</v>
      </c>
      <c r="G701" s="7" t="str">
        <f ca="1">IFERROR(__xludf.DUMMYFUNCTION("""COMPUTED_VALUE"""),"Maika Blázquez")</f>
        <v>Maika Blázquez</v>
      </c>
      <c r="R701" s="7"/>
    </row>
    <row r="702" spans="5:18">
      <c r="E702" s="7" t="str">
        <f ca="1">IFERROR(__xludf.DUMMYFUNCTION("""COMPUTED_VALUE"""),"Maria Del mar Munuera jurado")</f>
        <v>Maria Del mar Munuera jurado</v>
      </c>
      <c r="F702" s="7" t="str">
        <f ca="1">IFERROR(__xludf.DUMMYFUNCTION("""COMPUTED_VALUE"""),"LRM184")</f>
        <v>LRM184</v>
      </c>
      <c r="G702" s="7" t="str">
        <f ca="1">IFERROR(__xludf.DUMMYFUNCTION("""COMPUTED_VALUE"""),"Lisandro Russian")</f>
        <v>Lisandro Russian</v>
      </c>
      <c r="R702" s="7"/>
    </row>
    <row r="703" spans="5:18">
      <c r="E703" s="7" t="str">
        <f ca="1">IFERROR(__xludf.DUMMYFUNCTION("""COMPUTED_VALUE"""),"María del Pilar Gómez Tapiador")</f>
        <v>María del Pilar Gómez Tapiador</v>
      </c>
      <c r="F703" s="7" t="str">
        <f ca="1">IFERROR(__xludf.DUMMYFUNCTION("""COMPUTED_VALUE"""),"LAA86")</f>
        <v>LAA86</v>
      </c>
      <c r="G703" s="7" t="str">
        <f ca="1">IFERROR(__xludf.DUMMYFUNCTION("""COMPUTED_VALUE"""),"Luis Alberto Rodríguez")</f>
        <v>Luis Alberto Rodríguez</v>
      </c>
      <c r="R703" s="7"/>
    </row>
    <row r="704" spans="5:18">
      <c r="E704" s="7" t="str">
        <f ca="1">IFERROR(__xludf.DUMMYFUNCTION("""COMPUTED_VALUE"""),"Maria Del Rocío Lobato Pérez")</f>
        <v>Maria Del Rocío Lobato Pérez</v>
      </c>
      <c r="F704" s="7" t="str">
        <f ca="1">IFERROR(__xludf.DUMMYFUNCTION("""COMPUTED_VALUE"""),"LRM246")</f>
        <v>LRM246</v>
      </c>
      <c r="G704" s="7" t="str">
        <f ca="1">IFERROR(__xludf.DUMMYFUNCTION("""COMPUTED_VALUE"""),"Lisandro Russian")</f>
        <v>Lisandro Russian</v>
      </c>
      <c r="R704" s="7"/>
    </row>
    <row r="705" spans="5:18">
      <c r="E705" s="7" t="str">
        <f ca="1">IFERROR(__xludf.DUMMYFUNCTION("""COMPUTED_VALUE"""),"María Del Rocío Lobato Pérez")</f>
        <v>María Del Rocío Lobato Pérez</v>
      </c>
      <c r="F705" s="7" t="str">
        <f ca="1">IFERROR(__xludf.DUMMYFUNCTION("""COMPUTED_VALUE"""),"LRM257")</f>
        <v>LRM257</v>
      </c>
      <c r="G705" s="7" t="str">
        <f ca="1">IFERROR(__xludf.DUMMYFUNCTION("""COMPUTED_VALUE"""),"Lisandro Russian")</f>
        <v>Lisandro Russian</v>
      </c>
      <c r="R705" s="7"/>
    </row>
    <row r="706" spans="5:18">
      <c r="E706" s="7" t="str">
        <f ca="1">IFERROR(__xludf.DUMMYFUNCTION("""COMPUTED_VALUE"""),"María Del Rosario Gómez González")</f>
        <v>María Del Rosario Gómez González</v>
      </c>
      <c r="F706" s="7" t="str">
        <f ca="1">IFERROR(__xludf.DUMMYFUNCTION("""COMPUTED_VALUE"""),"ISL117")</f>
        <v>ISL117</v>
      </c>
      <c r="G706" s="7" t="str">
        <f ca="1">IFERROR(__xludf.DUMMYFUNCTION("""COMPUTED_VALUE"""),"Iván Sánchez")</f>
        <v>Iván Sánchez</v>
      </c>
      <c r="R706" s="7"/>
    </row>
    <row r="707" spans="5:18">
      <c r="E707" s="7" t="str">
        <f ca="1">IFERROR(__xludf.DUMMYFUNCTION("""COMPUTED_VALUE"""),"María Elena García García")</f>
        <v>María Elena García García</v>
      </c>
      <c r="F707" s="7" t="str">
        <f ca="1">IFERROR(__xludf.DUMMYFUNCTION("""COMPUTED_VALUE"""),"LRM262")</f>
        <v>LRM262</v>
      </c>
      <c r="G707" s="7" t="str">
        <f ca="1">IFERROR(__xludf.DUMMYFUNCTION("""COMPUTED_VALUE"""),"Lisandro Russian")</f>
        <v>Lisandro Russian</v>
      </c>
      <c r="R707" s="7"/>
    </row>
    <row r="708" spans="5:18">
      <c r="E708" s="7" t="str">
        <f ca="1">IFERROR(__xludf.DUMMYFUNCTION("""COMPUTED_VALUE"""),"María Emilia García Ruiz")</f>
        <v>María Emilia García Ruiz</v>
      </c>
      <c r="F708" s="7" t="str">
        <f ca="1">IFERROR(__xludf.DUMMYFUNCTION("""COMPUTED_VALUE"""),"RFV38")</f>
        <v>RFV38</v>
      </c>
      <c r="G708" s="7" t="str">
        <f ca="1">IFERROR(__xludf.DUMMYFUNCTION("""COMPUTED_VALUE"""),"Ramon Ferrando")</f>
        <v>Ramon Ferrando</v>
      </c>
      <c r="R708" s="7"/>
    </row>
    <row r="709" spans="5:18">
      <c r="E709" s="7" t="str">
        <f ca="1">IFERROR(__xludf.DUMMYFUNCTION("""COMPUTED_VALUE"""),"María Emilia García Ruíz")</f>
        <v>María Emilia García Ruíz</v>
      </c>
      <c r="F709" s="7" t="str">
        <f ca="1">IFERROR(__xludf.DUMMYFUNCTION("""COMPUTED_VALUE"""),"ISL118")</f>
        <v>ISL118</v>
      </c>
      <c r="G709" s="7" t="str">
        <f ca="1">IFERROR(__xludf.DUMMYFUNCTION("""COMPUTED_VALUE"""),"Iván Sánchez")</f>
        <v>Iván Sánchez</v>
      </c>
      <c r="R709" s="7"/>
    </row>
    <row r="710" spans="5:18">
      <c r="E710" s="7" t="str">
        <f ca="1">IFERROR(__xludf.DUMMYFUNCTION("""COMPUTED_VALUE"""),"María Estefanía Hernández García")</f>
        <v>María Estefanía Hernández García</v>
      </c>
      <c r="F710" s="7" t="str">
        <f ca="1">IFERROR(__xludf.DUMMYFUNCTION("""COMPUTED_VALUE"""),"MBM147")</f>
        <v>MBM147</v>
      </c>
      <c r="G710" s="7" t="str">
        <f ca="1">IFERROR(__xludf.DUMMYFUNCTION("""COMPUTED_VALUE"""),"Maika Blázquez")</f>
        <v>Maika Blázquez</v>
      </c>
      <c r="R710" s="7"/>
    </row>
    <row r="711" spans="5:18">
      <c r="E711" s="7" t="str">
        <f ca="1">IFERROR(__xludf.DUMMYFUNCTION("""COMPUTED_VALUE"""),"María Estrella Gomez Tomé")</f>
        <v>María Estrella Gomez Tomé</v>
      </c>
      <c r="F711" s="7" t="str">
        <f ca="1">IFERROR(__xludf.DUMMYFUNCTION("""COMPUTED_VALUE"""),"LRM185")</f>
        <v>LRM185</v>
      </c>
      <c r="G711" s="7" t="str">
        <f ca="1">IFERROR(__xludf.DUMMYFUNCTION("""COMPUTED_VALUE"""),"Lisandro Russian")</f>
        <v>Lisandro Russian</v>
      </c>
      <c r="R711" s="7"/>
    </row>
    <row r="712" spans="5:18">
      <c r="E712" s="7" t="str">
        <f ca="1">IFERROR(__xludf.DUMMYFUNCTION("""COMPUTED_VALUE"""),"María Eva Ruiz De Gauna Martín")</f>
        <v>María Eva Ruiz De Gauna Martín</v>
      </c>
      <c r="F712" s="7" t="str">
        <f ca="1">IFERROR(__xludf.DUMMYFUNCTION("""COMPUTED_VALUE"""),"LRM33")</f>
        <v>LRM33</v>
      </c>
      <c r="G712" s="7" t="str">
        <f ca="1">IFERROR(__xludf.DUMMYFUNCTION("""COMPUTED_VALUE"""),"Lisandro Russian")</f>
        <v>Lisandro Russian</v>
      </c>
      <c r="R712" s="7"/>
    </row>
    <row r="713" spans="5:18">
      <c r="E713" s="7" t="str">
        <f ca="1">IFERROR(__xludf.DUMMYFUNCTION("""COMPUTED_VALUE"""),"María Fernanda Escala Pedreros")</f>
        <v>María Fernanda Escala Pedreros</v>
      </c>
      <c r="F713" s="7" t="str">
        <f ca="1">IFERROR(__xludf.DUMMYFUNCTION("""COMPUTED_VALUE"""),"LRM186")</f>
        <v>LRM186</v>
      </c>
      <c r="G713" s="7" t="str">
        <f ca="1">IFERROR(__xludf.DUMMYFUNCTION("""COMPUTED_VALUE"""),"Lisandro Russian")</f>
        <v>Lisandro Russian</v>
      </c>
      <c r="R713" s="7"/>
    </row>
    <row r="714" spans="5:18">
      <c r="E714" s="7" t="str">
        <f ca="1">IFERROR(__xludf.DUMMYFUNCTION("""COMPUTED_VALUE"""),"María Fernanda Pedrero Escalas")</f>
        <v>María Fernanda Pedrero Escalas</v>
      </c>
      <c r="F714" s="7" t="str">
        <f ca="1">IFERROR(__xludf.DUMMYFUNCTION("""COMPUTED_VALUE"""),"LRM187")</f>
        <v>LRM187</v>
      </c>
      <c r="G714" s="7" t="str">
        <f ca="1">IFERROR(__xludf.DUMMYFUNCTION("""COMPUTED_VALUE"""),"Lisandro Russian")</f>
        <v>Lisandro Russian</v>
      </c>
      <c r="R714" s="7"/>
    </row>
    <row r="715" spans="5:18">
      <c r="E715" s="7" t="str">
        <f ca="1">IFERROR(__xludf.DUMMYFUNCTION("""COMPUTED_VALUE"""),"María Gabriela Bosco Morales")</f>
        <v>María Gabriela Bosco Morales</v>
      </c>
      <c r="F715" s="7" t="str">
        <f ca="1">IFERROR(__xludf.DUMMYFUNCTION("""COMPUTED_VALUE"""),"MBM148")</f>
        <v>MBM148</v>
      </c>
      <c r="G715" s="7" t="str">
        <f ca="1">IFERROR(__xludf.DUMMYFUNCTION("""COMPUTED_VALUE"""),"Maika Blázquez")</f>
        <v>Maika Blázquez</v>
      </c>
      <c r="R715" s="7"/>
    </row>
    <row r="716" spans="5:18">
      <c r="E716" s="7" t="str">
        <f ca="1">IFERROR(__xludf.DUMMYFUNCTION("""COMPUTED_VALUE"""),"María Garrote Garrote")</f>
        <v>María Garrote Garrote</v>
      </c>
      <c r="F716" s="7" t="str">
        <f ca="1">IFERROR(__xludf.DUMMYFUNCTION("""COMPUTED_VALUE"""),"MBM149")</f>
        <v>MBM149</v>
      </c>
      <c r="G716" s="7" t="str">
        <f ca="1">IFERROR(__xludf.DUMMYFUNCTION("""COMPUTED_VALUE"""),"Maika Blázquez")</f>
        <v>Maika Blázquez</v>
      </c>
      <c r="R716" s="7"/>
    </row>
    <row r="717" spans="5:18">
      <c r="E717" s="7" t="str">
        <f ca="1">IFERROR(__xludf.DUMMYFUNCTION("""COMPUTED_VALUE"""),"María Gil Melcón")</f>
        <v>María Gil Melcón</v>
      </c>
      <c r="F717" s="7" t="str">
        <f ca="1">IFERROR(__xludf.DUMMYFUNCTION("""COMPUTED_VALUE"""),"PSC42")</f>
        <v>PSC42</v>
      </c>
      <c r="G717" s="7" t="str">
        <f ca="1">IFERROR(__xludf.DUMMYFUNCTION("""COMPUTED_VALUE"""),"Patricia Solache")</f>
        <v>Patricia Solache</v>
      </c>
      <c r="R717" s="7"/>
    </row>
    <row r="718" spans="5:18">
      <c r="E718" s="7" t="str">
        <f ca="1">IFERROR(__xludf.DUMMYFUNCTION("""COMPUTED_VALUE"""),"María González Menendez")</f>
        <v>María González Menendez</v>
      </c>
      <c r="F718" s="7" t="str">
        <f ca="1">IFERROR(__xludf.DUMMYFUNCTION("""COMPUTED_VALUE"""),"LRM188")</f>
        <v>LRM188</v>
      </c>
      <c r="G718" s="7" t="str">
        <f ca="1">IFERROR(__xludf.DUMMYFUNCTION("""COMPUTED_VALUE"""),"Lisandro Russian")</f>
        <v>Lisandro Russian</v>
      </c>
      <c r="R718" s="7"/>
    </row>
    <row r="719" spans="5:18">
      <c r="E719" s="7" t="str">
        <f ca="1">IFERROR(__xludf.DUMMYFUNCTION("""COMPUTED_VALUE"""),"María González Menéndez")</f>
        <v>María González Menéndez</v>
      </c>
      <c r="F719" s="7" t="str">
        <f ca="1">IFERROR(__xludf.DUMMYFUNCTION("""COMPUTED_VALUE"""),"MBM150")</f>
        <v>MBM150</v>
      </c>
      <c r="G719" s="7" t="str">
        <f ca="1">IFERROR(__xludf.DUMMYFUNCTION("""COMPUTED_VALUE"""),"Maika Blázquez")</f>
        <v>Maika Blázquez</v>
      </c>
      <c r="R719" s="7"/>
    </row>
    <row r="720" spans="5:18">
      <c r="E720" s="7" t="str">
        <f ca="1">IFERROR(__xludf.DUMMYFUNCTION("""COMPUTED_VALUE"""),"María Guallar Larpa")</f>
        <v>María Guallar Larpa</v>
      </c>
      <c r="F720" s="7" t="str">
        <f ca="1">IFERROR(__xludf.DUMMYFUNCTION("""COMPUTED_VALUE"""),"LRM189")</f>
        <v>LRM189</v>
      </c>
      <c r="G720" s="7" t="str">
        <f ca="1">IFERROR(__xludf.DUMMYFUNCTION("""COMPUTED_VALUE"""),"Lisandro Russian")</f>
        <v>Lisandro Russian</v>
      </c>
      <c r="R720" s="7"/>
    </row>
    <row r="721" spans="5:18">
      <c r="E721" s="7" t="str">
        <f ca="1">IFERROR(__xludf.DUMMYFUNCTION("""COMPUTED_VALUE"""),"María Isabel Adiego Leza")</f>
        <v>María Isabel Adiego Leza</v>
      </c>
      <c r="F721" s="7" t="str">
        <f ca="1">IFERROR(__xludf.DUMMYFUNCTION("""COMPUTED_VALUE"""),"LRM190")</f>
        <v>LRM190</v>
      </c>
      <c r="G721" s="7" t="str">
        <f ca="1">IFERROR(__xludf.DUMMYFUNCTION("""COMPUTED_VALUE"""),"Lisandro Russian")</f>
        <v>Lisandro Russian</v>
      </c>
      <c r="R721" s="7"/>
    </row>
    <row r="722" spans="5:18">
      <c r="E722" s="7" t="str">
        <f ca="1">IFERROR(__xludf.DUMMYFUNCTION("""COMPUTED_VALUE"""),"María Isabel Castro Canelada")</f>
        <v>María Isabel Castro Canelada</v>
      </c>
      <c r="F722" s="7" t="str">
        <f ca="1">IFERROR(__xludf.DUMMYFUNCTION("""COMPUTED_VALUE"""),"LRM191")</f>
        <v>LRM191</v>
      </c>
      <c r="G722" s="7" t="str">
        <f ca="1">IFERROR(__xludf.DUMMYFUNCTION("""COMPUTED_VALUE"""),"Lisandro Russian")</f>
        <v>Lisandro Russian</v>
      </c>
      <c r="R722" s="7"/>
    </row>
    <row r="723" spans="5:18">
      <c r="E723" s="7" t="str">
        <f ca="1">IFERROR(__xludf.DUMMYFUNCTION("""COMPUTED_VALUE"""),"María Isabel Lorenzo Prieto")</f>
        <v>María Isabel Lorenzo Prieto</v>
      </c>
      <c r="F723" s="7" t="str">
        <f ca="1">IFERROR(__xludf.DUMMYFUNCTION("""COMPUTED_VALUE"""),"LRM192")</f>
        <v>LRM192</v>
      </c>
      <c r="G723" s="7" t="str">
        <f ca="1">IFERROR(__xludf.DUMMYFUNCTION("""COMPUTED_VALUE"""),"Lisandro Russian")</f>
        <v>Lisandro Russian</v>
      </c>
      <c r="R723" s="7"/>
    </row>
    <row r="724" spans="5:18">
      <c r="E724" s="7" t="str">
        <f ca="1">IFERROR(__xludf.DUMMYFUNCTION("""COMPUTED_VALUE"""),"María Isabel Rodríguez Francos")</f>
        <v>María Isabel Rodríguez Francos</v>
      </c>
      <c r="F724" s="7" t="str">
        <f ca="1">IFERROR(__xludf.DUMMYFUNCTION("""COMPUTED_VALUE"""),"MCC34")</f>
        <v>MCC34</v>
      </c>
      <c r="G724" s="7" t="str">
        <f ca="1">IFERROR(__xludf.DUMMYFUNCTION("""COMPUTED_VALUE"""),"Mercè Cabrera")</f>
        <v>Mercè Cabrera</v>
      </c>
      <c r="R724" s="7"/>
    </row>
    <row r="725" spans="5:18">
      <c r="E725" s="7" t="str">
        <f ca="1">IFERROR(__xludf.DUMMYFUNCTION("""COMPUTED_VALUE"""),"María Jesús Cornejo Domínguez")</f>
        <v>María Jesús Cornejo Domínguez</v>
      </c>
      <c r="F725" s="7" t="str">
        <f ca="1">IFERROR(__xludf.DUMMYFUNCTION("""COMPUTED_VALUE"""),"PSC24")</f>
        <v>PSC24</v>
      </c>
      <c r="G725" s="7" t="str">
        <f ca="1">IFERROR(__xludf.DUMMYFUNCTION("""COMPUTED_VALUE"""),"Patricia Solache")</f>
        <v>Patricia Solache</v>
      </c>
      <c r="R725" s="7"/>
    </row>
    <row r="726" spans="5:18">
      <c r="E726" s="7" t="str">
        <f ca="1">IFERROR(__xludf.DUMMYFUNCTION("""COMPUTED_VALUE"""),"María Jesús González Cortes")</f>
        <v>María Jesús González Cortes</v>
      </c>
      <c r="F726" s="7" t="str">
        <f ca="1">IFERROR(__xludf.DUMMYFUNCTION("""COMPUTED_VALUE"""),"RPG60")</f>
        <v>RPG60</v>
      </c>
      <c r="G726" s="7" t="str">
        <f ca="1">IFERROR(__xludf.DUMMYFUNCTION("""COMPUTED_VALUE"""),"Roberto Pereira")</f>
        <v>Roberto Pereira</v>
      </c>
      <c r="R726" s="7"/>
    </row>
    <row r="727" spans="5:18">
      <c r="E727" s="7" t="str">
        <f ca="1">IFERROR(__xludf.DUMMYFUNCTION("""COMPUTED_VALUE"""),"María Jesús Pascual Marcos")</f>
        <v>María Jesús Pascual Marcos</v>
      </c>
      <c r="F727" s="7" t="str">
        <f ca="1">IFERROR(__xludf.DUMMYFUNCTION("""COMPUTED_VALUE"""),"MBM151")</f>
        <v>MBM151</v>
      </c>
      <c r="G727" s="7" t="str">
        <f ca="1">IFERROR(__xludf.DUMMYFUNCTION("""COMPUTED_VALUE"""),"Maika Blázquez")</f>
        <v>Maika Blázquez</v>
      </c>
      <c r="R727" s="7"/>
    </row>
    <row r="728" spans="5:18">
      <c r="E728" s="7" t="str">
        <f ca="1">IFERROR(__xludf.DUMMYFUNCTION("""COMPUTED_VALUE"""),"María José Gaitero del Hoyo")</f>
        <v>María José Gaitero del Hoyo</v>
      </c>
      <c r="F728" s="7" t="str">
        <f ca="1">IFERROR(__xludf.DUMMYFUNCTION("""COMPUTED_VALUE"""),"LRM193")</f>
        <v>LRM193</v>
      </c>
      <c r="G728" s="7" t="str">
        <f ca="1">IFERROR(__xludf.DUMMYFUNCTION("""COMPUTED_VALUE"""),"Lisandro Russian")</f>
        <v>Lisandro Russian</v>
      </c>
      <c r="R728" s="7"/>
    </row>
    <row r="729" spans="5:18">
      <c r="E729" s="7" t="str">
        <f ca="1">IFERROR(__xludf.DUMMYFUNCTION("""COMPUTED_VALUE"""),"María José Gámiz Maroto")</f>
        <v>María José Gámiz Maroto</v>
      </c>
      <c r="F729" s="7" t="str">
        <f ca="1">IFERROR(__xludf.DUMMYFUNCTION("""COMPUTED_VALUE"""),"RFV07")</f>
        <v>RFV07</v>
      </c>
      <c r="G729" s="7" t="str">
        <f ca="1">IFERROR(__xludf.DUMMYFUNCTION("""COMPUTED_VALUE"""),"Ramon Ferrando")</f>
        <v>Ramon Ferrando</v>
      </c>
      <c r="R729" s="7"/>
    </row>
    <row r="730" spans="5:18">
      <c r="E730" s="7" t="str">
        <f ca="1">IFERROR(__xludf.DUMMYFUNCTION("""COMPUTED_VALUE"""),"María José González Gimeno")</f>
        <v>María José González Gimeno</v>
      </c>
      <c r="F730" s="7" t="str">
        <f ca="1">IFERROR(__xludf.DUMMYFUNCTION("""COMPUTED_VALUE"""),"LRM194")</f>
        <v>LRM194</v>
      </c>
      <c r="G730" s="7" t="str">
        <f ca="1">IFERROR(__xludf.DUMMYFUNCTION("""COMPUTED_VALUE"""),"Lisandro Russian")</f>
        <v>Lisandro Russian</v>
      </c>
      <c r="R730" s="7"/>
    </row>
    <row r="731" spans="5:18">
      <c r="E731" s="7" t="str">
        <f ca="1">IFERROR(__xludf.DUMMYFUNCTION("""COMPUTED_VALUE"""),"María José Lavilla Martín De Valmaseda")</f>
        <v>María José Lavilla Martín De Valmaseda</v>
      </c>
      <c r="F731" s="7" t="str">
        <f ca="1">IFERROR(__xludf.DUMMYFUNCTION("""COMPUTED_VALUE"""),"LRM195")</f>
        <v>LRM195</v>
      </c>
      <c r="G731" s="7" t="str">
        <f ca="1">IFERROR(__xludf.DUMMYFUNCTION("""COMPUTED_VALUE"""),"Lisandro Russian")</f>
        <v>Lisandro Russian</v>
      </c>
      <c r="R731" s="7"/>
    </row>
    <row r="732" spans="5:18">
      <c r="E732" s="7" t="str">
        <f ca="1">IFERROR(__xludf.DUMMYFUNCTION("""COMPUTED_VALUE"""),"María José Lesmas Navarro")</f>
        <v>María José Lesmas Navarro</v>
      </c>
      <c r="F732" s="7" t="str">
        <f ca="1">IFERROR(__xludf.DUMMYFUNCTION("""COMPUTED_VALUE"""),"ISL119")</f>
        <v>ISL119</v>
      </c>
      <c r="G732" s="7" t="str">
        <f ca="1">IFERROR(__xludf.DUMMYFUNCTION("""COMPUTED_VALUE"""),"Iván Sánchez")</f>
        <v>Iván Sánchez</v>
      </c>
      <c r="R732" s="7"/>
    </row>
    <row r="733" spans="5:18">
      <c r="E733" s="7" t="str">
        <f ca="1">IFERROR(__xludf.DUMMYFUNCTION("""COMPUTED_VALUE"""),"María José Naya Gálvez")</f>
        <v>María José Naya Gálvez</v>
      </c>
      <c r="F733" s="7" t="str">
        <f ca="1">IFERROR(__xludf.DUMMYFUNCTION("""COMPUTED_VALUE"""),"LRM196")</f>
        <v>LRM196</v>
      </c>
      <c r="G733" s="7" t="str">
        <f ca="1">IFERROR(__xludf.DUMMYFUNCTION("""COMPUTED_VALUE"""),"Lisandro Russian")</f>
        <v>Lisandro Russian</v>
      </c>
      <c r="R733" s="7"/>
    </row>
    <row r="734" spans="5:18">
      <c r="E734" s="7" t="str">
        <f ca="1">IFERROR(__xludf.DUMMYFUNCTION("""COMPUTED_VALUE"""),"María Josefa Hervás Núñez")</f>
        <v>María Josefa Hervás Núñez</v>
      </c>
      <c r="F734" s="7" t="str">
        <f ca="1">IFERROR(__xludf.DUMMYFUNCTION("""COMPUTED_VALUE"""),"LAA53")</f>
        <v>LAA53</v>
      </c>
      <c r="G734" s="7" t="str">
        <f ca="1">IFERROR(__xludf.DUMMYFUNCTION("""COMPUTED_VALUE"""),"Luis Alberto Rodríguez")</f>
        <v>Luis Alberto Rodríguez</v>
      </c>
      <c r="R734" s="7"/>
    </row>
    <row r="735" spans="5:18">
      <c r="E735" s="7" t="str">
        <f ca="1">IFERROR(__xludf.DUMMYFUNCTION("""COMPUTED_VALUE"""),"María K Llano Espinosa")</f>
        <v>María K Llano Espinosa</v>
      </c>
      <c r="F735" s="7" t="str">
        <f ca="1">IFERROR(__xludf.DUMMYFUNCTION("""COMPUTED_VALUE"""),"MCC49")</f>
        <v>MCC49</v>
      </c>
      <c r="G735" s="7" t="str">
        <f ca="1">IFERROR(__xludf.DUMMYFUNCTION("""COMPUTED_VALUE"""),"Mercè Cabrera")</f>
        <v>Mercè Cabrera</v>
      </c>
      <c r="R735" s="7"/>
    </row>
    <row r="736" spans="5:18">
      <c r="E736" s="7" t="str">
        <f ca="1">IFERROR(__xludf.DUMMYFUNCTION("""COMPUTED_VALUE"""),"María Lluc Montaña Frau")</f>
        <v>María Lluc Montaña Frau</v>
      </c>
      <c r="F736" s="7" t="str">
        <f ca="1">IFERROR(__xludf.DUMMYFUNCTION("""COMPUTED_VALUE"""),"MBM217")</f>
        <v>MBM217</v>
      </c>
      <c r="G736" s="7" t="str">
        <f ca="1">IFERROR(__xludf.DUMMYFUNCTION("""COMPUTED_VALUE"""),"Maika Blázquez")</f>
        <v>Maika Blázquez</v>
      </c>
      <c r="R736" s="7"/>
    </row>
    <row r="737" spans="5:18">
      <c r="E737" s="7" t="str">
        <f ca="1">IFERROR(__xludf.DUMMYFUNCTION("""COMPUTED_VALUE"""),"María López Robles")</f>
        <v>María López Robles</v>
      </c>
      <c r="F737" s="7" t="str">
        <f ca="1">IFERROR(__xludf.DUMMYFUNCTION("""COMPUTED_VALUE"""),"ISL120")</f>
        <v>ISL120</v>
      </c>
      <c r="G737" s="7" t="str">
        <f ca="1">IFERROR(__xludf.DUMMYFUNCTION("""COMPUTED_VALUE"""),"Iván Sánchez")</f>
        <v>Iván Sánchez</v>
      </c>
      <c r="R737" s="7"/>
    </row>
    <row r="738" spans="5:18">
      <c r="E738" s="7" t="str">
        <f ca="1">IFERROR(__xludf.DUMMYFUNCTION("""COMPUTED_VALUE"""),"María Lourdes Alonso Alonso")</f>
        <v>María Lourdes Alonso Alonso</v>
      </c>
      <c r="F738" s="7" t="str">
        <f ca="1">IFERROR(__xludf.DUMMYFUNCTION("""COMPUTED_VALUE"""),"LRM197")</f>
        <v>LRM197</v>
      </c>
      <c r="G738" s="7" t="str">
        <f ca="1">IFERROR(__xludf.DUMMYFUNCTION("""COMPUTED_VALUE"""),"Lisandro Russian")</f>
        <v>Lisandro Russian</v>
      </c>
      <c r="R738" s="7"/>
    </row>
    <row r="739" spans="5:18">
      <c r="E739" s="7" t="str">
        <f ca="1">IFERROR(__xludf.DUMMYFUNCTION("""COMPUTED_VALUE"""),"María Lourdes Hernández de los Santos")</f>
        <v>María Lourdes Hernández de los Santos</v>
      </c>
      <c r="F739" s="7" t="str">
        <f ca="1">IFERROR(__xludf.DUMMYFUNCTION("""COMPUTED_VALUE"""),"PSC43")</f>
        <v>PSC43</v>
      </c>
      <c r="G739" s="7" t="str">
        <f ca="1">IFERROR(__xludf.DUMMYFUNCTION("""COMPUTED_VALUE"""),"Patricia Solache")</f>
        <v>Patricia Solache</v>
      </c>
      <c r="R739" s="7"/>
    </row>
    <row r="740" spans="5:18">
      <c r="E740" s="7" t="str">
        <f ca="1">IFERROR(__xludf.DUMMYFUNCTION("""COMPUTED_VALUE"""),"María Luisa Calero Ramos")</f>
        <v>María Luisa Calero Ramos</v>
      </c>
      <c r="F740" s="7" t="str">
        <f ca="1">IFERROR(__xludf.DUMMYFUNCTION("""COMPUTED_VALUE"""),"LAA54")</f>
        <v>LAA54</v>
      </c>
      <c r="G740" s="7" t="str">
        <f ca="1">IFERROR(__xludf.DUMMYFUNCTION("""COMPUTED_VALUE"""),"Luis Alberto Rodríguez")</f>
        <v>Luis Alberto Rodríguez</v>
      </c>
      <c r="R740" s="7"/>
    </row>
    <row r="741" spans="5:18">
      <c r="E741" s="7" t="str">
        <f ca="1">IFERROR(__xludf.DUMMYFUNCTION("""COMPUTED_VALUE"""),"María Luisa De Benavides Gabernet")</f>
        <v>María Luisa De Benavides Gabernet</v>
      </c>
      <c r="F741" s="7" t="str">
        <f ca="1">IFERROR(__xludf.DUMMYFUNCTION("""COMPUTED_VALUE"""),"LRM198")</f>
        <v>LRM198</v>
      </c>
      <c r="G741" s="7" t="str">
        <f ca="1">IFERROR(__xludf.DUMMYFUNCTION("""COMPUTED_VALUE"""),"Lisandro Russian")</f>
        <v>Lisandro Russian</v>
      </c>
      <c r="R741" s="7"/>
    </row>
    <row r="742" spans="5:18">
      <c r="E742" s="7" t="str">
        <f ca="1">IFERROR(__xludf.DUMMYFUNCTION("""COMPUTED_VALUE"""),"María Magdalena Pérez Ortín ")</f>
        <v>María Magdalena Pérez Ortín </v>
      </c>
      <c r="F742" s="7" t="str">
        <f ca="1">IFERROR(__xludf.DUMMYFUNCTION("""COMPUTED_VALUE"""),"LRM248")</f>
        <v>LRM248</v>
      </c>
      <c r="G742" s="7" t="str">
        <f ca="1">IFERROR(__xludf.DUMMYFUNCTION("""COMPUTED_VALUE"""),"Lisandro Russian")</f>
        <v>Lisandro Russian</v>
      </c>
      <c r="R742" s="7"/>
    </row>
    <row r="743" spans="5:18">
      <c r="E743" s="7" t="str">
        <f ca="1">IFERROR(__xludf.DUMMYFUNCTION("""COMPUTED_VALUE"""),"María Mendiguchía Simón")</f>
        <v>María Mendiguchía Simón</v>
      </c>
      <c r="F743" s="7" t="str">
        <f ca="1">IFERROR(__xludf.DUMMYFUNCTION("""COMPUTED_VALUE"""),"LRM199")</f>
        <v>LRM199</v>
      </c>
      <c r="G743" s="7" t="str">
        <f ca="1">IFERROR(__xludf.DUMMYFUNCTION("""COMPUTED_VALUE"""),"Lisandro Russian")</f>
        <v>Lisandro Russian</v>
      </c>
      <c r="R743" s="7"/>
    </row>
    <row r="744" spans="5:18">
      <c r="E744" s="7" t="str">
        <f ca="1">IFERROR(__xludf.DUMMYFUNCTION("""COMPUTED_VALUE"""),"María Montserrat Asensi Díaz")</f>
        <v>María Montserrat Asensi Díaz</v>
      </c>
      <c r="F744" s="7" t="str">
        <f ca="1">IFERROR(__xludf.DUMMYFUNCTION("""COMPUTED_VALUE"""),"MBM218")</f>
        <v>MBM218</v>
      </c>
      <c r="G744" s="7" t="str">
        <f ca="1">IFERROR(__xludf.DUMMYFUNCTION("""COMPUTED_VALUE"""),"Maika Blázquez")</f>
        <v>Maika Blázquez</v>
      </c>
      <c r="R744" s="7"/>
    </row>
    <row r="745" spans="5:18">
      <c r="E745" s="7" t="str">
        <f ca="1">IFERROR(__xludf.DUMMYFUNCTION("""COMPUTED_VALUE"""),"María Nazaret Benítez Lobón")</f>
        <v>María Nazaret Benítez Lobón</v>
      </c>
      <c r="F745" s="7" t="str">
        <f ca="1">IFERROR(__xludf.DUMMYFUNCTION("""COMPUTED_VALUE"""),"MBM222")</f>
        <v>MBM222</v>
      </c>
      <c r="G745" s="7" t="str">
        <f ca="1">IFERROR(__xludf.DUMMYFUNCTION("""COMPUTED_VALUE"""),"Maika Blázquez")</f>
        <v>Maika Blázquez</v>
      </c>
      <c r="R745" s="7"/>
    </row>
    <row r="746" spans="5:18">
      <c r="E746" s="7" t="str">
        <f ca="1">IFERROR(__xludf.DUMMYFUNCTION("""COMPUTED_VALUE"""),"María Nieves Sánchez Martínez")</f>
        <v>María Nieves Sánchez Martínez</v>
      </c>
      <c r="F746" s="7" t="str">
        <f ca="1">IFERROR(__xludf.DUMMYFUNCTION("""COMPUTED_VALUE"""),"ISL121")</f>
        <v>ISL121</v>
      </c>
      <c r="G746" s="7" t="str">
        <f ca="1">IFERROR(__xludf.DUMMYFUNCTION("""COMPUTED_VALUE"""),"Iván Sánchez")</f>
        <v>Iván Sánchez</v>
      </c>
      <c r="R746" s="7"/>
    </row>
    <row r="747" spans="5:18">
      <c r="E747" s="7" t="str">
        <f ca="1">IFERROR(__xludf.DUMMYFUNCTION("""COMPUTED_VALUE"""),"María Pérez Sepúlveda")</f>
        <v>María Pérez Sepúlveda</v>
      </c>
      <c r="F747" s="7" t="str">
        <f ca="1">IFERROR(__xludf.DUMMYFUNCTION("""COMPUTED_VALUE"""),"MBM152")</f>
        <v>MBM152</v>
      </c>
      <c r="G747" s="7" t="str">
        <f ca="1">IFERROR(__xludf.DUMMYFUNCTION("""COMPUTED_VALUE"""),"Maika Blázquez")</f>
        <v>Maika Blázquez</v>
      </c>
      <c r="R747" s="7"/>
    </row>
    <row r="748" spans="5:18">
      <c r="E748" s="7" t="str">
        <f ca="1">IFERROR(__xludf.DUMMYFUNCTION("""COMPUTED_VALUE"""),"María Pilar Barreira Fernández")</f>
        <v>María Pilar Barreira Fernández</v>
      </c>
      <c r="F748" s="7" t="str">
        <f ca="1">IFERROR(__xludf.DUMMYFUNCTION("""COMPUTED_VALUE"""),"LRM200")</f>
        <v>LRM200</v>
      </c>
      <c r="G748" s="7" t="str">
        <f ca="1">IFERROR(__xludf.DUMMYFUNCTION("""COMPUTED_VALUE"""),"Lisandro Russian")</f>
        <v>Lisandro Russian</v>
      </c>
      <c r="R748" s="7"/>
    </row>
    <row r="749" spans="5:18">
      <c r="E749" s="7" t="str">
        <f ca="1">IFERROR(__xludf.DUMMYFUNCTION("""COMPUTED_VALUE"""),"María Pilar Lisbona Alquézar")</f>
        <v>María Pilar Lisbona Alquézar</v>
      </c>
      <c r="F749" s="7" t="str">
        <f ca="1">IFERROR(__xludf.DUMMYFUNCTION("""COMPUTED_VALUE"""),"LRM201")</f>
        <v>LRM201</v>
      </c>
      <c r="G749" s="7" t="str">
        <f ca="1">IFERROR(__xludf.DUMMYFUNCTION("""COMPUTED_VALUE"""),"Lisandro Russian")</f>
        <v>Lisandro Russian</v>
      </c>
      <c r="R749" s="7"/>
    </row>
    <row r="750" spans="5:18">
      <c r="E750" s="7" t="str">
        <f ca="1">IFERROR(__xludf.DUMMYFUNCTION("""COMPUTED_VALUE"""),"María Rey Marcos")</f>
        <v>María Rey Marcos</v>
      </c>
      <c r="F750" s="7" t="str">
        <f ca="1">IFERROR(__xludf.DUMMYFUNCTION("""COMPUTED_VALUE"""),"RPG51")</f>
        <v>RPG51</v>
      </c>
      <c r="G750" s="7" t="str">
        <f ca="1">IFERROR(__xludf.DUMMYFUNCTION("""COMPUTED_VALUE"""),"Roberto Pereira")</f>
        <v>Roberto Pereira</v>
      </c>
      <c r="R750" s="7"/>
    </row>
    <row r="751" spans="5:18">
      <c r="E751" s="7" t="str">
        <f ca="1">IFERROR(__xludf.DUMMYFUNCTION("""COMPUTED_VALUE"""),"María Romero Marchante")</f>
        <v>María Romero Marchante</v>
      </c>
      <c r="F751" s="7" t="str">
        <f ca="1">IFERROR(__xludf.DUMMYFUNCTION("""COMPUTED_VALUE"""),"LRM202")</f>
        <v>LRM202</v>
      </c>
      <c r="G751" s="7" t="str">
        <f ca="1">IFERROR(__xludf.DUMMYFUNCTION("""COMPUTED_VALUE"""),"Lisandro Russian")</f>
        <v>Lisandro Russian</v>
      </c>
      <c r="R751" s="7"/>
    </row>
    <row r="752" spans="5:18">
      <c r="E752" s="7" t="str">
        <f ca="1">IFERROR(__xludf.DUMMYFUNCTION("""COMPUTED_VALUE"""),"Maria Rosario Ferrandiz García")</f>
        <v>Maria Rosario Ferrandiz García</v>
      </c>
      <c r="F752" s="7" t="str">
        <f ca="1">IFERROR(__xludf.DUMMYFUNCTION("""COMPUTED_VALUE"""),"ISL116")</f>
        <v>ISL116</v>
      </c>
      <c r="G752" s="7" t="str">
        <f ca="1">IFERROR(__xludf.DUMMYFUNCTION("""COMPUTED_VALUE"""),"Iván Sánchez")</f>
        <v>Iván Sánchez</v>
      </c>
      <c r="R752" s="7"/>
    </row>
    <row r="753" spans="5:18">
      <c r="E753" s="7" t="str">
        <f ca="1">IFERROR(__xludf.DUMMYFUNCTION("""COMPUTED_VALUE"""),"María Rosario Ruiz Gómez")</f>
        <v>María Rosario Ruiz Gómez</v>
      </c>
      <c r="F753" s="7" t="str">
        <f ca="1">IFERROR(__xludf.DUMMYFUNCTION("""COMPUTED_VALUE"""),"LRM270")</f>
        <v>LRM270</v>
      </c>
      <c r="G753" s="7" t="str">
        <f ca="1">IFERROR(__xludf.DUMMYFUNCTION("""COMPUTED_VALUE"""),"Lisandro Russian")</f>
        <v>Lisandro Russian</v>
      </c>
      <c r="R753" s="7"/>
    </row>
    <row r="754" spans="5:18">
      <c r="E754" s="7" t="str">
        <f ca="1">IFERROR(__xludf.DUMMYFUNCTION("""COMPUTED_VALUE"""),"María Sánchez Cantón")</f>
        <v>María Sánchez Cantón</v>
      </c>
      <c r="F754" s="7" t="str">
        <f ca="1">IFERROR(__xludf.DUMMYFUNCTION("""COMPUTED_VALUE"""),"LRM203")</f>
        <v>LRM203</v>
      </c>
      <c r="G754" s="7" t="str">
        <f ca="1">IFERROR(__xludf.DUMMYFUNCTION("""COMPUTED_VALUE"""),"Lisandro Russian")</f>
        <v>Lisandro Russian</v>
      </c>
      <c r="R754" s="7"/>
    </row>
    <row r="755" spans="5:18">
      <c r="E755" s="7" t="str">
        <f ca="1">IFERROR(__xludf.DUMMYFUNCTION("""COMPUTED_VALUE"""),"María Sánchez Herrero")</f>
        <v>María Sánchez Herrero</v>
      </c>
      <c r="F755" s="7" t="str">
        <f ca="1">IFERROR(__xludf.DUMMYFUNCTION("""COMPUTED_VALUE"""),"LRM204")</f>
        <v>LRM204</v>
      </c>
      <c r="G755" s="7" t="str">
        <f ca="1">IFERROR(__xludf.DUMMYFUNCTION("""COMPUTED_VALUE"""),"Lisandro Russian")</f>
        <v>Lisandro Russian</v>
      </c>
      <c r="R755" s="7"/>
    </row>
    <row r="756" spans="5:18">
      <c r="E756" s="7" t="str">
        <f ca="1">IFERROR(__xludf.DUMMYFUNCTION("""COMPUTED_VALUE"""),"María Santillán")</f>
        <v>María Santillán</v>
      </c>
      <c r="F756" s="7" t="str">
        <f ca="1">IFERROR(__xludf.DUMMYFUNCTION("""COMPUTED_VALUE"""),"MBM141")</f>
        <v>MBM141</v>
      </c>
      <c r="G756" s="7" t="str">
        <f ca="1">IFERROR(__xludf.DUMMYFUNCTION("""COMPUTED_VALUE"""),"Maika Blázquez")</f>
        <v>Maika Blázquez</v>
      </c>
      <c r="R756" s="7"/>
    </row>
    <row r="757" spans="5:18">
      <c r="E757" s="7" t="str">
        <f ca="1">IFERROR(__xludf.DUMMYFUNCTION("""COMPUTED_VALUE"""),"María Santillán Sánchez")</f>
        <v>María Santillán Sánchez</v>
      </c>
      <c r="F757" s="7" t="str">
        <f ca="1">IFERROR(__xludf.DUMMYFUNCTION("""COMPUTED_VALUE"""),"MBM153")</f>
        <v>MBM153</v>
      </c>
      <c r="G757" s="7" t="str">
        <f ca="1">IFERROR(__xludf.DUMMYFUNCTION("""COMPUTED_VALUE"""),"Maika Blázquez")</f>
        <v>Maika Blázquez</v>
      </c>
      <c r="R757" s="7"/>
    </row>
    <row r="758" spans="5:18">
      <c r="E758" s="7" t="str">
        <f ca="1">IFERROR(__xludf.DUMMYFUNCTION("""COMPUTED_VALUE"""),"María Scola Torres")</f>
        <v>María Scola Torres</v>
      </c>
      <c r="F758" s="7" t="str">
        <f ca="1">IFERROR(__xludf.DUMMYFUNCTION("""COMPUTED_VALUE"""),"MBM154")</f>
        <v>MBM154</v>
      </c>
      <c r="G758" s="7" t="str">
        <f ca="1">IFERROR(__xludf.DUMMYFUNCTION("""COMPUTED_VALUE"""),"Maika Blázquez")</f>
        <v>Maika Blázquez</v>
      </c>
      <c r="R758" s="7"/>
    </row>
    <row r="759" spans="5:18">
      <c r="E759" s="7" t="str">
        <f ca="1">IFERROR(__xludf.DUMMYFUNCTION("""COMPUTED_VALUE"""),"María Sol Marcos Salazar")</f>
        <v>María Sol Marcos Salazar</v>
      </c>
      <c r="F759" s="7" t="str">
        <f ca="1">IFERROR(__xludf.DUMMYFUNCTION("""COMPUTED_VALUE"""),"LRM263")</f>
        <v>LRM263</v>
      </c>
      <c r="G759" s="7" t="str">
        <f ca="1">IFERROR(__xludf.DUMMYFUNCTION("""COMPUTED_VALUE"""),"Lisandro Russian")</f>
        <v>Lisandro Russian</v>
      </c>
      <c r="R759" s="7"/>
    </row>
    <row r="760" spans="5:18">
      <c r="E760" s="7" t="str">
        <f ca="1">IFERROR(__xludf.DUMMYFUNCTION("""COMPUTED_VALUE"""),"María Soledad Frías Moya-Angeler")</f>
        <v>María Soledad Frías Moya-Angeler</v>
      </c>
      <c r="F760" s="7" t="str">
        <f ca="1">IFERROR(__xludf.DUMMYFUNCTION("""COMPUTED_VALUE"""),"RFV25")</f>
        <v>RFV25</v>
      </c>
      <c r="G760" s="7" t="str">
        <f ca="1">IFERROR(__xludf.DUMMYFUNCTION("""COMPUTED_VALUE"""),"Ramon Ferrando")</f>
        <v>Ramon Ferrando</v>
      </c>
      <c r="R760" s="7"/>
    </row>
    <row r="761" spans="5:18">
      <c r="E761" s="7" t="str">
        <f ca="1">IFERROR(__xludf.DUMMYFUNCTION("""COMPUTED_VALUE"""),"María Teresa Almela Rojo")</f>
        <v>María Teresa Almela Rojo</v>
      </c>
      <c r="F761" s="7" t="str">
        <f ca="1">IFERROR(__xludf.DUMMYFUNCTION("""COMPUTED_VALUE"""),"ISL123")</f>
        <v>ISL123</v>
      </c>
      <c r="G761" s="7" t="str">
        <f ca="1">IFERROR(__xludf.DUMMYFUNCTION("""COMPUTED_VALUE"""),"Iván Sánchez")</f>
        <v>Iván Sánchez</v>
      </c>
      <c r="R761" s="7"/>
    </row>
    <row r="762" spans="5:18">
      <c r="E762" s="7" t="str">
        <f ca="1">IFERROR(__xludf.DUMMYFUNCTION("""COMPUTED_VALUE"""),"María Teresa Cervilla Martín")</f>
        <v>María Teresa Cervilla Martín</v>
      </c>
      <c r="F762" s="7" t="str">
        <f ca="1">IFERROR(__xludf.DUMMYFUNCTION("""COMPUTED_VALUE"""),"LAA71")</f>
        <v>LAA71</v>
      </c>
      <c r="G762" s="7" t="str">
        <f ca="1">IFERROR(__xludf.DUMMYFUNCTION("""COMPUTED_VALUE"""),"Luis Alberto Rodríguez")</f>
        <v>Luis Alberto Rodríguez</v>
      </c>
      <c r="R762" s="7"/>
    </row>
    <row r="763" spans="5:18">
      <c r="E763" s="7" t="str">
        <f ca="1">IFERROR(__xludf.DUMMYFUNCTION("""COMPUTED_VALUE"""),"María Teresa Cuesta González")</f>
        <v>María Teresa Cuesta González</v>
      </c>
      <c r="F763" s="7" t="str">
        <f ca="1">IFERROR(__xludf.DUMMYFUNCTION("""COMPUTED_VALUE"""),"RFV30")</f>
        <v>RFV30</v>
      </c>
      <c r="G763" s="7" t="str">
        <f ca="1">IFERROR(__xludf.DUMMYFUNCTION("""COMPUTED_VALUE"""),"Ramon Ferrando")</f>
        <v>Ramon Ferrando</v>
      </c>
      <c r="R763" s="7"/>
    </row>
    <row r="764" spans="5:18">
      <c r="E764" s="7" t="str">
        <f ca="1">IFERROR(__xludf.DUMMYFUNCTION("""COMPUTED_VALUE"""),"María Teresa García Iriarte")</f>
        <v>María Teresa García Iriarte</v>
      </c>
      <c r="F764" s="7" t="str">
        <f ca="1">IFERROR(__xludf.DUMMYFUNCTION("""COMPUTED_VALUE"""),"LAA55")</f>
        <v>LAA55</v>
      </c>
      <c r="G764" s="7" t="str">
        <f ca="1">IFERROR(__xludf.DUMMYFUNCTION("""COMPUTED_VALUE"""),"Luis Alberto Rodríguez")</f>
        <v>Luis Alberto Rodríguez</v>
      </c>
      <c r="R764" s="7"/>
    </row>
    <row r="765" spans="5:18">
      <c r="E765" s="7" t="str">
        <f ca="1">IFERROR(__xludf.DUMMYFUNCTION("""COMPUTED_VALUE"""),"María Teresa Herrera Mera")</f>
        <v>María Teresa Herrera Mera</v>
      </c>
      <c r="F765" s="7" t="str">
        <f ca="1">IFERROR(__xludf.DUMMYFUNCTION("""COMPUTED_VALUE"""),"MBM155")</f>
        <v>MBM155</v>
      </c>
      <c r="G765" s="7" t="str">
        <f ca="1">IFERROR(__xludf.DUMMYFUNCTION("""COMPUTED_VALUE"""),"Maika Blázquez")</f>
        <v>Maika Blázquez</v>
      </c>
      <c r="R765" s="7"/>
    </row>
    <row r="766" spans="5:18">
      <c r="E766" s="7" t="str">
        <f ca="1">IFERROR(__xludf.DUMMYFUNCTION("""COMPUTED_VALUE"""),"María Victoria Calvo Medina")</f>
        <v>María Victoria Calvo Medina</v>
      </c>
      <c r="F766" s="7" t="str">
        <f ca="1">IFERROR(__xludf.DUMMYFUNCTION("""COMPUTED_VALUE"""),"LRM205")</f>
        <v>LRM205</v>
      </c>
      <c r="G766" s="7" t="str">
        <f ca="1">IFERROR(__xludf.DUMMYFUNCTION("""COMPUTED_VALUE"""),"Lisandro Russian")</f>
        <v>Lisandro Russian</v>
      </c>
      <c r="R766" s="7"/>
    </row>
    <row r="767" spans="5:18">
      <c r="E767" s="7" t="str">
        <f ca="1">IFERROR(__xludf.DUMMYFUNCTION("""COMPUTED_VALUE"""),"Marian Mate Bayón")</f>
        <v>Marian Mate Bayón</v>
      </c>
      <c r="F767" s="7" t="str">
        <f ca="1">IFERROR(__xludf.DUMMYFUNCTION("""COMPUTED_VALUE"""),"LRM206")</f>
        <v>LRM206</v>
      </c>
      <c r="G767" s="7" t="str">
        <f ca="1">IFERROR(__xludf.DUMMYFUNCTION("""COMPUTED_VALUE"""),"Lisandro Russian")</f>
        <v>Lisandro Russian</v>
      </c>
      <c r="R767" s="7"/>
    </row>
    <row r="768" spans="5:18">
      <c r="E768" s="7" t="str">
        <f ca="1">IFERROR(__xludf.DUMMYFUNCTION("""COMPUTED_VALUE"""),"Mariano Rosique Arias")</f>
        <v>Mariano Rosique Arias</v>
      </c>
      <c r="F768" s="7" t="str">
        <f ca="1">IFERROR(__xludf.DUMMYFUNCTION("""COMPUTED_VALUE"""),"ISL67")</f>
        <v>ISL67</v>
      </c>
      <c r="G768" s="7" t="str">
        <f ca="1">IFERROR(__xludf.DUMMYFUNCTION("""COMPUTED_VALUE"""),"Iván Sánchez")</f>
        <v>Iván Sánchez</v>
      </c>
      <c r="R768" s="7"/>
    </row>
    <row r="769" spans="5:18">
      <c r="E769" s="7" t="str">
        <f ca="1">IFERROR(__xludf.DUMMYFUNCTION("""COMPUTED_VALUE"""),"Mariella Anaya Sifuentes")</f>
        <v>Mariella Anaya Sifuentes</v>
      </c>
      <c r="F769" s="7" t="str">
        <f ca="1">IFERROR(__xludf.DUMMYFUNCTION("""COMPUTED_VALUE"""),"ISL124")</f>
        <v>ISL124</v>
      </c>
      <c r="G769" s="7" t="str">
        <f ca="1">IFERROR(__xludf.DUMMYFUNCTION("""COMPUTED_VALUE"""),"Iván Sánchez")</f>
        <v>Iván Sánchez</v>
      </c>
      <c r="R769" s="7"/>
    </row>
    <row r="770" spans="5:18">
      <c r="E770" s="7" t="str">
        <f ca="1">IFERROR(__xludf.DUMMYFUNCTION("""COMPUTED_VALUE"""),"Marina Caceda Chumbiauca")</f>
        <v>Marina Caceda Chumbiauca</v>
      </c>
      <c r="F770" s="7" t="str">
        <f ca="1">IFERROR(__xludf.DUMMYFUNCTION("""COMPUTED_VALUE"""),"ISL125")</f>
        <v>ISL125</v>
      </c>
      <c r="G770" s="7" t="str">
        <f ca="1">IFERROR(__xludf.DUMMYFUNCTION("""COMPUTED_VALUE"""),"Iván Sánchez")</f>
        <v>Iván Sánchez</v>
      </c>
      <c r="R770" s="7"/>
    </row>
    <row r="771" spans="5:18">
      <c r="E771" s="7" t="str">
        <f ca="1">IFERROR(__xludf.DUMMYFUNCTION("""COMPUTED_VALUE"""),"Marina Carrasco Llatas")</f>
        <v>Marina Carrasco Llatas</v>
      </c>
      <c r="F771" s="7" t="str">
        <f ca="1">IFERROR(__xludf.DUMMYFUNCTION("""COMPUTED_VALUE"""),"RFV31")</f>
        <v>RFV31</v>
      </c>
      <c r="G771" s="7" t="str">
        <f ca="1">IFERROR(__xludf.DUMMYFUNCTION("""COMPUTED_VALUE"""),"Ramon Ferrando")</f>
        <v>Ramon Ferrando</v>
      </c>
      <c r="R771" s="7"/>
    </row>
    <row r="772" spans="5:18">
      <c r="E772" s="7" t="str">
        <f ca="1">IFERROR(__xludf.DUMMYFUNCTION("""COMPUTED_VALUE"""),"Marina Godás Núñez")</f>
        <v>Marina Godás Núñez</v>
      </c>
      <c r="F772" s="7" t="str">
        <f ca="1">IFERROR(__xludf.DUMMYFUNCTION("""COMPUTED_VALUE"""),"LRM207")</f>
        <v>LRM207</v>
      </c>
      <c r="G772" s="7" t="str">
        <f ca="1">IFERROR(__xludf.DUMMYFUNCTION("""COMPUTED_VALUE"""),"Lisandro Russian")</f>
        <v>Lisandro Russian</v>
      </c>
      <c r="R772" s="7"/>
    </row>
    <row r="773" spans="5:18">
      <c r="E773" s="7" t="str">
        <f ca="1">IFERROR(__xludf.DUMMYFUNCTION("""COMPUTED_VALUE"""),"Marina Madrigal Revuelta")</f>
        <v>Marina Madrigal Revuelta</v>
      </c>
      <c r="F773" s="7" t="str">
        <f ca="1">IFERROR(__xludf.DUMMYFUNCTION("""COMPUTED_VALUE"""),"PSC44")</f>
        <v>PSC44</v>
      </c>
      <c r="G773" s="7" t="str">
        <f ca="1">IFERROR(__xludf.DUMMYFUNCTION("""COMPUTED_VALUE"""),"Patricia Solache")</f>
        <v>Patricia Solache</v>
      </c>
      <c r="R773" s="7"/>
    </row>
    <row r="774" spans="5:18">
      <c r="E774" s="7" t="str">
        <f ca="1">IFERROR(__xludf.DUMMYFUNCTION("""COMPUTED_VALUE"""),"Marina Pérez Grau")</f>
        <v>Marina Pérez Grau</v>
      </c>
      <c r="F774" s="7" t="str">
        <f ca="1">IFERROR(__xludf.DUMMYFUNCTION("""COMPUTED_VALUE"""),"ISL142")</f>
        <v>ISL142</v>
      </c>
      <c r="G774" s="7" t="str">
        <f ca="1">IFERROR(__xludf.DUMMYFUNCTION("""COMPUTED_VALUE"""),"Iván Sánchez")</f>
        <v>Iván Sánchez</v>
      </c>
      <c r="R774" s="7"/>
    </row>
    <row r="775" spans="5:18">
      <c r="E775" s="7" t="str">
        <f ca="1">IFERROR(__xludf.DUMMYFUNCTION("""COMPUTED_VALUE"""),"Mario Cuetos Azcona")</f>
        <v>Mario Cuetos Azcona</v>
      </c>
      <c r="F775" s="7" t="str">
        <f ca="1">IFERROR(__xludf.DUMMYFUNCTION("""COMPUTED_VALUE"""),"PSC25")</f>
        <v>PSC25</v>
      </c>
      <c r="G775" s="7" t="str">
        <f ca="1">IFERROR(__xludf.DUMMYFUNCTION("""COMPUTED_VALUE"""),"Patricia Solache")</f>
        <v>Patricia Solache</v>
      </c>
      <c r="R775" s="7"/>
    </row>
    <row r="776" spans="5:18">
      <c r="E776" s="7" t="str">
        <f ca="1">IFERROR(__xludf.DUMMYFUNCTION("""COMPUTED_VALUE"""),"Mario Higuera Rapa")</f>
        <v>Mario Higuera Rapa</v>
      </c>
      <c r="F776" s="7" t="str">
        <f ca="1">IFERROR(__xludf.DUMMYFUNCTION("""COMPUTED_VALUE"""),"ISL68")</f>
        <v>ISL68</v>
      </c>
      <c r="G776" s="7" t="str">
        <f ca="1">IFERROR(__xludf.DUMMYFUNCTION("""COMPUTED_VALUE"""),"Iván Sánchez")</f>
        <v>Iván Sánchez</v>
      </c>
      <c r="R776" s="7"/>
    </row>
    <row r="777" spans="5:18">
      <c r="E777" s="7" t="str">
        <f ca="1">IFERROR(__xludf.DUMMYFUNCTION("""COMPUTED_VALUE"""),"Mario Santos De Almeida Branco")</f>
        <v>Mario Santos De Almeida Branco</v>
      </c>
      <c r="F777" s="7" t="str">
        <f ca="1">IFERROR(__xludf.DUMMYFUNCTION("""COMPUTED_VALUE"""),"PSC26")</f>
        <v>PSC26</v>
      </c>
      <c r="G777" s="7" t="str">
        <f ca="1">IFERROR(__xludf.DUMMYFUNCTION("""COMPUTED_VALUE"""),"Patricia Solache")</f>
        <v>Patricia Solache</v>
      </c>
      <c r="R777" s="7"/>
    </row>
    <row r="778" spans="5:18">
      <c r="E778" s="7" t="str">
        <f ca="1">IFERROR(__xludf.DUMMYFUNCTION("""COMPUTED_VALUE"""),"Marta Abad Pascual")</f>
        <v>Marta Abad Pascual</v>
      </c>
      <c r="F778" s="7" t="str">
        <f ca="1">IFERROR(__xludf.DUMMYFUNCTION("""COMPUTED_VALUE"""),"MBM186")</f>
        <v>MBM186</v>
      </c>
      <c r="G778" s="7" t="str">
        <f ca="1">IFERROR(__xludf.DUMMYFUNCTION("""COMPUTED_VALUE"""),"Maika Blázquez")</f>
        <v>Maika Blázquez</v>
      </c>
      <c r="R778" s="7"/>
    </row>
    <row r="779" spans="5:18">
      <c r="E779" s="7" t="str">
        <f ca="1">IFERROR(__xludf.DUMMYFUNCTION("""COMPUTED_VALUE"""),"Marta Alcaraz Fuentes")</f>
        <v>Marta Alcaraz Fuentes</v>
      </c>
      <c r="F779" s="7" t="str">
        <f ca="1">IFERROR(__xludf.DUMMYFUNCTION("""COMPUTED_VALUE"""),"LRM208")</f>
        <v>LRM208</v>
      </c>
      <c r="G779" s="7" t="str">
        <f ca="1">IFERROR(__xludf.DUMMYFUNCTION("""COMPUTED_VALUE"""),"Lisandro Russian")</f>
        <v>Lisandro Russian</v>
      </c>
      <c r="R779" s="7"/>
    </row>
    <row r="780" spans="5:18">
      <c r="E780" s="7" t="str">
        <f ca="1">IFERROR(__xludf.DUMMYFUNCTION("""COMPUTED_VALUE"""),"Marta Álvarez Cendrero")</f>
        <v>Marta Álvarez Cendrero</v>
      </c>
      <c r="F780" s="7" t="str">
        <f ca="1">IFERROR(__xludf.DUMMYFUNCTION("""COMPUTED_VALUE"""),"LAA82")</f>
        <v>LAA82</v>
      </c>
      <c r="G780" s="7" t="str">
        <f ca="1">IFERROR(__xludf.DUMMYFUNCTION("""COMPUTED_VALUE"""),"Luis Alberto Rodríguez")</f>
        <v>Luis Alberto Rodríguez</v>
      </c>
      <c r="R780" s="7"/>
    </row>
    <row r="781" spans="5:18">
      <c r="E781" s="7" t="str">
        <f ca="1">IFERROR(__xludf.DUMMYFUNCTION("""COMPUTED_VALUE"""),"Marta Bascones García")</f>
        <v>Marta Bascones García</v>
      </c>
      <c r="F781" s="7" t="str">
        <f ca="1">IFERROR(__xludf.DUMMYFUNCTION("""COMPUTED_VALUE"""),"AMM16")</f>
        <v>AMM16</v>
      </c>
      <c r="G781" s="7" t="str">
        <f ca="1">IFERROR(__xludf.DUMMYFUNCTION("""COMPUTED_VALUE"""),"Alberto Moreno")</f>
        <v>Alberto Moreno</v>
      </c>
      <c r="R781" s="7"/>
    </row>
    <row r="782" spans="5:18">
      <c r="E782" s="7" t="str">
        <f ca="1">IFERROR(__xludf.DUMMYFUNCTION("""COMPUTED_VALUE"""),"Marta Calvo Pérez")</f>
        <v>Marta Calvo Pérez</v>
      </c>
      <c r="F782" s="7" t="str">
        <f ca="1">IFERROR(__xludf.DUMMYFUNCTION("""COMPUTED_VALUE"""),"PSC45")</f>
        <v>PSC45</v>
      </c>
      <c r="G782" s="7" t="str">
        <f ca="1">IFERROR(__xludf.DUMMYFUNCTION("""COMPUTED_VALUE"""),"Patricia Solache")</f>
        <v>Patricia Solache</v>
      </c>
      <c r="R782" s="7"/>
    </row>
    <row r="783" spans="5:18">
      <c r="E783" s="7" t="str">
        <f ca="1">IFERROR(__xludf.DUMMYFUNCTION("""COMPUTED_VALUE"""),"Marta Chaurre Cordero")</f>
        <v>Marta Chaurre Cordero</v>
      </c>
      <c r="F783" s="7" t="str">
        <f ca="1">IFERROR(__xludf.DUMMYFUNCTION("""COMPUTED_VALUE"""),"MBM200")</f>
        <v>MBM200</v>
      </c>
      <c r="G783" s="7" t="str">
        <f ca="1">IFERROR(__xludf.DUMMYFUNCTION("""COMPUTED_VALUE"""),"Maika Blázquez")</f>
        <v>Maika Blázquez</v>
      </c>
      <c r="R783" s="7"/>
    </row>
    <row r="784" spans="5:18">
      <c r="E784" s="7" t="str">
        <f ca="1">IFERROR(__xludf.DUMMYFUNCTION("""COMPUTED_VALUE"""),"Marta Colmenero Ruiz")</f>
        <v>Marta Colmenero Ruiz</v>
      </c>
      <c r="F784" s="7" t="str">
        <f ca="1">IFERROR(__xludf.DUMMYFUNCTION("""COMPUTED_VALUE"""),"MBM156")</f>
        <v>MBM156</v>
      </c>
      <c r="G784" s="7" t="str">
        <f ca="1">IFERROR(__xludf.DUMMYFUNCTION("""COMPUTED_VALUE"""),"Maika Blázquez")</f>
        <v>Maika Blázquez</v>
      </c>
      <c r="R784" s="7"/>
    </row>
    <row r="785" spans="5:18">
      <c r="E785" s="7" t="str">
        <f ca="1">IFERROR(__xludf.DUMMYFUNCTION("""COMPUTED_VALUE"""),"Marta Del Nido")</f>
        <v>Marta Del Nido</v>
      </c>
      <c r="F785" s="7" t="str">
        <f ca="1">IFERROR(__xludf.DUMMYFUNCTION("""COMPUTED_VALUE"""),"LRM209")</f>
        <v>LRM209</v>
      </c>
      <c r="G785" s="7" t="str">
        <f ca="1">IFERROR(__xludf.DUMMYFUNCTION("""COMPUTED_VALUE"""),"Lisandro Russian")</f>
        <v>Lisandro Russian</v>
      </c>
      <c r="R785" s="7"/>
    </row>
    <row r="786" spans="5:18">
      <c r="E786" s="7" t="str">
        <f ca="1">IFERROR(__xludf.DUMMYFUNCTION("""COMPUTED_VALUE"""),"Marta Fernández Míguez")</f>
        <v>Marta Fernández Míguez</v>
      </c>
      <c r="F786" s="7" t="str">
        <f ca="1">IFERROR(__xludf.DUMMYFUNCTION("""COMPUTED_VALUE"""),"AMM21")</f>
        <v>AMM21</v>
      </c>
      <c r="G786" s="7" t="str">
        <f ca="1">IFERROR(__xludf.DUMMYFUNCTION("""COMPUTED_VALUE"""),"Alberto Moreno")</f>
        <v>Alberto Moreno</v>
      </c>
      <c r="R786" s="7"/>
    </row>
    <row r="787" spans="5:18">
      <c r="E787" s="7" t="str">
        <f ca="1">IFERROR(__xludf.DUMMYFUNCTION("""COMPUTED_VALUE"""),"Marta Garcia Jimenez")</f>
        <v>Marta Garcia Jimenez</v>
      </c>
      <c r="F787" s="7" t="str">
        <f ca="1">IFERROR(__xludf.DUMMYFUNCTION("""COMPUTED_VALUE"""),"LRM210")</f>
        <v>LRM210</v>
      </c>
      <c r="G787" s="7" t="str">
        <f ca="1">IFERROR(__xludf.DUMMYFUNCTION("""COMPUTED_VALUE"""),"Lisandro Russian")</f>
        <v>Lisandro Russian</v>
      </c>
      <c r="R787" s="7"/>
    </row>
    <row r="788" spans="5:18">
      <c r="E788" s="7" t="str">
        <f ca="1">IFERROR(__xludf.DUMMYFUNCTION("""COMPUTED_VALUE"""),"Marta García Jiménez")</f>
        <v>Marta García Jiménez</v>
      </c>
      <c r="F788" s="7" t="str">
        <f ca="1">IFERROR(__xludf.DUMMYFUNCTION("""COMPUTED_VALUE"""),"LRM253")</f>
        <v>LRM253</v>
      </c>
      <c r="G788" s="7" t="str">
        <f ca="1">IFERROR(__xludf.DUMMYFUNCTION("""COMPUTED_VALUE"""),"Lisandro Russian")</f>
        <v>Lisandro Russian</v>
      </c>
      <c r="R788" s="7"/>
    </row>
    <row r="789" spans="5:18">
      <c r="E789" s="7" t="str">
        <f ca="1">IFERROR(__xludf.DUMMYFUNCTION("""COMPUTED_VALUE"""),"Marta García Pila")</f>
        <v>Marta García Pila</v>
      </c>
      <c r="F789" s="7" t="str">
        <f ca="1">IFERROR(__xludf.DUMMYFUNCTION("""COMPUTED_VALUE"""),"LRM211")</f>
        <v>LRM211</v>
      </c>
      <c r="G789" s="7" t="str">
        <f ca="1">IFERROR(__xludf.DUMMYFUNCTION("""COMPUTED_VALUE"""),"Lisandro Russian")</f>
        <v>Lisandro Russian</v>
      </c>
      <c r="R789" s="7"/>
    </row>
    <row r="790" spans="5:18">
      <c r="E790" s="7" t="str">
        <f ca="1">IFERROR(__xludf.DUMMYFUNCTION("""COMPUTED_VALUE"""),"Marta Lasierra Fondevilla")</f>
        <v>Marta Lasierra Fondevilla</v>
      </c>
      <c r="F790" s="7" t="str">
        <f ca="1">IFERROR(__xludf.DUMMYFUNCTION("""COMPUTED_VALUE"""),"LRM212")</f>
        <v>LRM212</v>
      </c>
      <c r="G790" s="7" t="str">
        <f ca="1">IFERROR(__xludf.DUMMYFUNCTION("""COMPUTED_VALUE"""),"Lisandro Russian")</f>
        <v>Lisandro Russian</v>
      </c>
      <c r="R790" s="7"/>
    </row>
    <row r="791" spans="5:18">
      <c r="E791" s="7" t="str">
        <f ca="1">IFERROR(__xludf.DUMMYFUNCTION("""COMPUTED_VALUE"""),"Marta Maroto De Pablo")</f>
        <v>Marta Maroto De Pablo</v>
      </c>
      <c r="F791" s="7" t="str">
        <f ca="1">IFERROR(__xludf.DUMMYFUNCTION("""COMPUTED_VALUE"""),"LRM213")</f>
        <v>LRM213</v>
      </c>
      <c r="G791" s="7" t="str">
        <f ca="1">IFERROR(__xludf.DUMMYFUNCTION("""COMPUTED_VALUE"""),"Lisandro Russian")</f>
        <v>Lisandro Russian</v>
      </c>
      <c r="R791" s="7"/>
    </row>
    <row r="792" spans="5:18">
      <c r="E792" s="7" t="str">
        <f ca="1">IFERROR(__xludf.DUMMYFUNCTION("""COMPUTED_VALUE"""),"Marta Mesalles Ruiz")</f>
        <v>Marta Mesalles Ruiz</v>
      </c>
      <c r="F792" s="7" t="str">
        <f ca="1">IFERROR(__xludf.DUMMYFUNCTION("""COMPUTED_VALUE"""),"MCC50")</f>
        <v>MCC50</v>
      </c>
      <c r="G792" s="7" t="str">
        <f ca="1">IFERROR(__xludf.DUMMYFUNCTION("""COMPUTED_VALUE"""),"Mercè Cabrera")</f>
        <v>Mercè Cabrera</v>
      </c>
      <c r="R792" s="7"/>
    </row>
    <row r="793" spans="5:18">
      <c r="E793" s="7" t="str">
        <f ca="1">IFERROR(__xludf.DUMMYFUNCTION("""COMPUTED_VALUE"""),"Marta Morato Galán")</f>
        <v>Marta Morato Galán</v>
      </c>
      <c r="F793" s="7" t="str">
        <f ca="1">IFERROR(__xludf.DUMMYFUNCTION("""COMPUTED_VALUE"""),"MBM158")</f>
        <v>MBM158</v>
      </c>
      <c r="G793" s="7" t="str">
        <f ca="1">IFERROR(__xludf.DUMMYFUNCTION("""COMPUTED_VALUE"""),"Maika Blázquez")</f>
        <v>Maika Blázquez</v>
      </c>
      <c r="R793" s="7"/>
    </row>
    <row r="794" spans="5:18">
      <c r="E794" s="7" t="str">
        <f ca="1">IFERROR(__xludf.DUMMYFUNCTION("""COMPUTED_VALUE"""),"Marta Paulos Novoa")</f>
        <v>Marta Paulos Novoa</v>
      </c>
      <c r="F794" s="7" t="str">
        <f ca="1">IFERROR(__xludf.DUMMYFUNCTION("""COMPUTED_VALUE"""),"RPG61")</f>
        <v>RPG61</v>
      </c>
      <c r="G794" s="7" t="str">
        <f ca="1">IFERROR(__xludf.DUMMYFUNCTION("""COMPUTED_VALUE"""),"Roberto Pereira")</f>
        <v>Roberto Pereira</v>
      </c>
      <c r="R794" s="7"/>
    </row>
    <row r="795" spans="5:18">
      <c r="E795" s="7" t="str">
        <f ca="1">IFERROR(__xludf.DUMMYFUNCTION("""COMPUTED_VALUE"""),"Marta Sandoval Puig")</f>
        <v>Marta Sandoval Puig</v>
      </c>
      <c r="F795" s="7" t="str">
        <f ca="1">IFERROR(__xludf.DUMMYFUNCTION("""COMPUTED_VALUE"""),"MCC51")</f>
        <v>MCC51</v>
      </c>
      <c r="G795" s="7" t="str">
        <f ca="1">IFERROR(__xludf.DUMMYFUNCTION("""COMPUTED_VALUE"""),"Mercè Cabrera")</f>
        <v>Mercè Cabrera</v>
      </c>
      <c r="R795" s="7"/>
    </row>
    <row r="796" spans="5:18">
      <c r="E796" s="7" t="str">
        <f ca="1">IFERROR(__xludf.DUMMYFUNCTION("""COMPUTED_VALUE"""),"Marta Sanz Rodríguez")</f>
        <v>Marta Sanz Rodríguez</v>
      </c>
      <c r="F796" s="7" t="str">
        <f ca="1">IFERROR(__xludf.DUMMYFUNCTION("""COMPUTED_VALUE"""),"MCC52")</f>
        <v>MCC52</v>
      </c>
      <c r="G796" s="7" t="str">
        <f ca="1">IFERROR(__xludf.DUMMYFUNCTION("""COMPUTED_VALUE"""),"Mercè Cabrera")</f>
        <v>Mercè Cabrera</v>
      </c>
      <c r="R796" s="7"/>
    </row>
    <row r="797" spans="5:18">
      <c r="E797" s="7" t="str">
        <f ca="1">IFERROR(__xludf.DUMMYFUNCTION("""COMPUTED_VALUE"""),"Marta Valenzuela Gras")</f>
        <v>Marta Valenzuela Gras</v>
      </c>
      <c r="F797" s="7" t="str">
        <f ca="1">IFERROR(__xludf.DUMMYFUNCTION("""COMPUTED_VALUE"""),"RFV50")</f>
        <v>RFV50</v>
      </c>
      <c r="G797" s="7" t="str">
        <f ca="1">IFERROR(__xludf.DUMMYFUNCTION("""COMPUTED_VALUE"""),"Ramon Ferrando")</f>
        <v>Ramon Ferrando</v>
      </c>
      <c r="R797" s="7"/>
    </row>
    <row r="798" spans="5:18">
      <c r="E798" s="7" t="str">
        <f ca="1">IFERROR(__xludf.DUMMYFUNCTION("""COMPUTED_VALUE"""),"Marta Zabaleta López")</f>
        <v>Marta Zabaleta López</v>
      </c>
      <c r="F798" s="7" t="str">
        <f ca="1">IFERROR(__xludf.DUMMYFUNCTION("""COMPUTED_VALUE"""),"AMM17")</f>
        <v>AMM17</v>
      </c>
      <c r="G798" s="7" t="str">
        <f ca="1">IFERROR(__xludf.DUMMYFUNCTION("""COMPUTED_VALUE"""),"Alberto Moreno")</f>
        <v>Alberto Moreno</v>
      </c>
      <c r="R798" s="7"/>
    </row>
    <row r="799" spans="5:18">
      <c r="E799" s="7" t="str">
        <f ca="1">IFERROR(__xludf.DUMMYFUNCTION("""COMPUTED_VALUE"""),"Martín Eduardo Marcano Acuña")</f>
        <v>Martín Eduardo Marcano Acuña</v>
      </c>
      <c r="F799" s="7" t="str">
        <f ca="1">IFERROR(__xludf.DUMMYFUNCTION("""COMPUTED_VALUE"""),"RFV22")</f>
        <v>RFV22</v>
      </c>
      <c r="G799" s="7" t="str">
        <f ca="1">IFERROR(__xludf.DUMMYFUNCTION("""COMPUTED_VALUE"""),"Ramon Ferrando")</f>
        <v>Ramon Ferrando</v>
      </c>
      <c r="R799" s="7"/>
    </row>
    <row r="800" spans="5:18">
      <c r="E800" s="7" t="str">
        <f ca="1">IFERROR(__xludf.DUMMYFUNCTION("""COMPUTED_VALUE"""),"Martín Zelada Trigoso")</f>
        <v>Martín Zelada Trigoso</v>
      </c>
      <c r="F800" s="7" t="str">
        <f ca="1">IFERROR(__xludf.DUMMYFUNCTION("""COMPUTED_VALUE"""),"ISL69")</f>
        <v>ISL69</v>
      </c>
      <c r="G800" s="7" t="str">
        <f ca="1">IFERROR(__xludf.DUMMYFUNCTION("""COMPUTED_VALUE"""),"Iván Sánchez")</f>
        <v>Iván Sánchez</v>
      </c>
      <c r="R800" s="7"/>
    </row>
    <row r="801" spans="5:18">
      <c r="E801" s="7" t="str">
        <f ca="1">IFERROR(__xludf.DUMMYFUNCTION("""COMPUTED_VALUE"""),"Mateo Jáñez Moral")</f>
        <v>Mateo Jáñez Moral</v>
      </c>
      <c r="F801" s="7" t="str">
        <f ca="1">IFERROR(__xludf.DUMMYFUNCTION("""COMPUTED_VALUE"""),"ISL70")</f>
        <v>ISL70</v>
      </c>
      <c r="G801" s="7" t="str">
        <f ca="1">IFERROR(__xludf.DUMMYFUNCTION("""COMPUTED_VALUE"""),"Iván Sánchez")</f>
        <v>Iván Sánchez</v>
      </c>
      <c r="R801" s="7"/>
    </row>
    <row r="802" spans="5:18">
      <c r="E802" s="7" t="str">
        <f ca="1">IFERROR(__xludf.DUMMYFUNCTION("""COMPUTED_VALUE"""),"Máximo Rafael García Rodríguez")</f>
        <v>Máximo Rafael García Rodríguez</v>
      </c>
      <c r="F802" s="7" t="str">
        <f ca="1">IFERROR(__xludf.DUMMYFUNCTION("""COMPUTED_VALUE"""),"ISL71")</f>
        <v>ISL71</v>
      </c>
      <c r="G802" s="7" t="str">
        <f ca="1">IFERROR(__xludf.DUMMYFUNCTION("""COMPUTED_VALUE"""),"Iván Sánchez")</f>
        <v>Iván Sánchez</v>
      </c>
      <c r="R802" s="7"/>
    </row>
    <row r="803" spans="5:18">
      <c r="E803" s="7" t="str">
        <f ca="1">IFERROR(__xludf.DUMMYFUNCTION("""COMPUTED_VALUE"""),"Mayte Pinilla Urraca")</f>
        <v>Mayte Pinilla Urraca</v>
      </c>
      <c r="F803" s="7" t="str">
        <f ca="1">IFERROR(__xludf.DUMMYFUNCTION("""COMPUTED_VALUE"""),"LRM214")</f>
        <v>LRM214</v>
      </c>
      <c r="G803" s="7" t="str">
        <f ca="1">IFERROR(__xludf.DUMMYFUNCTION("""COMPUTED_VALUE"""),"Lisandro Russian")</f>
        <v>Lisandro Russian</v>
      </c>
      <c r="R803" s="7"/>
    </row>
    <row r="804" spans="5:18">
      <c r="E804" s="7" t="str">
        <f ca="1">IFERROR(__xludf.DUMMYFUNCTION("""COMPUTED_VALUE"""),"Mercedes Álvarez-Buylla Blanco")</f>
        <v>Mercedes Álvarez-Buylla Blanco</v>
      </c>
      <c r="F804" s="7" t="str">
        <f ca="1">IFERROR(__xludf.DUMMYFUNCTION("""COMPUTED_VALUE"""),"RPG52")</f>
        <v>RPG52</v>
      </c>
      <c r="G804" s="7" t="str">
        <f ca="1">IFERROR(__xludf.DUMMYFUNCTION("""COMPUTED_VALUE"""),"Roberto Pereira")</f>
        <v>Roberto Pereira</v>
      </c>
      <c r="R804" s="7"/>
    </row>
    <row r="805" spans="5:18">
      <c r="E805" s="7" t="str">
        <f ca="1">IFERROR(__xludf.DUMMYFUNCTION("""COMPUTED_VALUE"""),"Mercedes Ceballos Cauto")</f>
        <v>Mercedes Ceballos Cauto</v>
      </c>
      <c r="F805" s="7" t="str">
        <f ca="1">IFERROR(__xludf.DUMMYFUNCTION("""COMPUTED_VALUE"""),"LAA77")</f>
        <v>LAA77</v>
      </c>
      <c r="G805" s="7" t="str">
        <f ca="1">IFERROR(__xludf.DUMMYFUNCTION("""COMPUTED_VALUE"""),"Luis Alberto Rodríguez")</f>
        <v>Luis Alberto Rodríguez</v>
      </c>
      <c r="R805" s="7"/>
    </row>
    <row r="806" spans="5:18">
      <c r="E806" s="7" t="str">
        <f ca="1">IFERROR(__xludf.DUMMYFUNCTION("""COMPUTED_VALUE"""),"Mercedes Menayo Antunez")</f>
        <v>Mercedes Menayo Antunez</v>
      </c>
      <c r="F806" s="7" t="str">
        <f ca="1">IFERROR(__xludf.DUMMYFUNCTION("""COMPUTED_VALUE"""),"LRM215")</f>
        <v>LRM215</v>
      </c>
      <c r="G806" s="7" t="str">
        <f ca="1">IFERROR(__xludf.DUMMYFUNCTION("""COMPUTED_VALUE"""),"Lisandro Russian")</f>
        <v>Lisandro Russian</v>
      </c>
      <c r="R806" s="7"/>
    </row>
    <row r="807" spans="5:18">
      <c r="E807" s="7" t="str">
        <f ca="1">IFERROR(__xludf.DUMMYFUNCTION("""COMPUTED_VALUE"""),"Michal Kochan")</f>
        <v>Michal Kochan</v>
      </c>
      <c r="F807" s="7" t="str">
        <f ca="1">IFERROR(__xludf.DUMMYFUNCTION("""COMPUTED_VALUE"""),"LRM104")</f>
        <v>LRM104</v>
      </c>
      <c r="G807" s="7" t="str">
        <f ca="1">IFERROR(__xludf.DUMMYFUNCTION("""COMPUTED_VALUE"""),"Lisandro Russian")</f>
        <v>Lisandro Russian</v>
      </c>
      <c r="R807" s="7"/>
    </row>
    <row r="808" spans="5:18">
      <c r="E808" s="7" t="str">
        <f ca="1">IFERROR(__xludf.DUMMYFUNCTION("""COMPUTED_VALUE"""),"Miguel Alberto Rodríguez Pérez")</f>
        <v>Miguel Alberto Rodríguez Pérez</v>
      </c>
      <c r="F808" s="7" t="str">
        <f ca="1">IFERROR(__xludf.DUMMYFUNCTION("""COMPUTED_VALUE"""),"LAA34")</f>
        <v>LAA34</v>
      </c>
      <c r="G808" s="7" t="str">
        <f ca="1">IFERROR(__xludf.DUMMYFUNCTION("""COMPUTED_VALUE"""),"Luis Alberto Rodríguez")</f>
        <v>Luis Alberto Rodríguez</v>
      </c>
      <c r="R808" s="7"/>
    </row>
    <row r="809" spans="5:18">
      <c r="E809" s="7" t="str">
        <f ca="1">IFERROR(__xludf.DUMMYFUNCTION("""COMPUTED_VALUE"""),"Miguel Ángel Escobar Martínez")</f>
        <v>Miguel Ángel Escobar Martínez</v>
      </c>
      <c r="F809" s="7" t="str">
        <f ca="1">IFERROR(__xludf.DUMMYFUNCTION("""COMPUTED_VALUE"""),"LRM105")</f>
        <v>LRM105</v>
      </c>
      <c r="G809" s="7" t="str">
        <f ca="1">IFERROR(__xludf.DUMMYFUNCTION("""COMPUTED_VALUE"""),"Lisandro Russian")</f>
        <v>Lisandro Russian</v>
      </c>
      <c r="R809" s="7"/>
    </row>
    <row r="810" spans="5:18">
      <c r="E810" s="7" t="str">
        <f ca="1">IFERROR(__xludf.DUMMYFUNCTION("""COMPUTED_VALUE"""),"Miguel Angel García Bonet")</f>
        <v>Miguel Angel García Bonet</v>
      </c>
      <c r="F810" s="7" t="str">
        <f ca="1">IFERROR(__xludf.DUMMYFUNCTION("""COMPUTED_VALUE"""),"LRM106")</f>
        <v>LRM106</v>
      </c>
      <c r="G810" s="7" t="str">
        <f ca="1">IFERROR(__xludf.DUMMYFUNCTION("""COMPUTED_VALUE"""),"Lisandro Russian")</f>
        <v>Lisandro Russian</v>
      </c>
      <c r="R810" s="7"/>
    </row>
    <row r="811" spans="5:18">
      <c r="E811" s="7" t="str">
        <f ca="1">IFERROR(__xludf.DUMMYFUNCTION("""COMPUTED_VALUE"""),"Miguel Ángel Gracia Nogueras")</f>
        <v>Miguel Ángel Gracia Nogueras</v>
      </c>
      <c r="F811" s="7" t="str">
        <f ca="1">IFERROR(__xludf.DUMMYFUNCTION("""COMPUTED_VALUE"""),"LRM107")</f>
        <v>LRM107</v>
      </c>
      <c r="G811" s="7" t="str">
        <f ca="1">IFERROR(__xludf.DUMMYFUNCTION("""COMPUTED_VALUE"""),"Lisandro Russian")</f>
        <v>Lisandro Russian</v>
      </c>
      <c r="R811" s="7"/>
    </row>
    <row r="812" spans="5:18">
      <c r="E812" s="7" t="str">
        <f ca="1">IFERROR(__xludf.DUMMYFUNCTION("""COMPUTED_VALUE"""),"Miguel Antonio Shepherd González")</f>
        <v>Miguel Antonio Shepherd González</v>
      </c>
      <c r="F812" s="7" t="str">
        <f ca="1">IFERROR(__xludf.DUMMYFUNCTION("""COMPUTED_VALUE"""),"LAA35")</f>
        <v>LAA35</v>
      </c>
      <c r="G812" s="7" t="str">
        <f ca="1">IFERROR(__xludf.DUMMYFUNCTION("""COMPUTED_VALUE"""),"Luis Alberto Rodríguez")</f>
        <v>Luis Alberto Rodríguez</v>
      </c>
      <c r="R812" s="7"/>
    </row>
    <row r="813" spans="5:18">
      <c r="E813" s="7" t="str">
        <f ca="1">IFERROR(__xludf.DUMMYFUNCTION("""COMPUTED_VALUE"""),"Miguel Esparcía Navarro")</f>
        <v>Miguel Esparcía Navarro</v>
      </c>
      <c r="F813" s="7" t="str">
        <f ca="1">IFERROR(__xludf.DUMMYFUNCTION("""COMPUTED_VALUE"""),"ISL72")</f>
        <v>ISL72</v>
      </c>
      <c r="G813" s="7" t="str">
        <f ca="1">IFERROR(__xludf.DUMMYFUNCTION("""COMPUTED_VALUE"""),"Iván Sánchez")</f>
        <v>Iván Sánchez</v>
      </c>
      <c r="R813" s="7"/>
    </row>
    <row r="814" spans="5:18">
      <c r="E814" s="7" t="str">
        <f ca="1">IFERROR(__xludf.DUMMYFUNCTION("""COMPUTED_VALUE"""),"Miguel F, Garcia Wagner")</f>
        <v>Miguel F, Garcia Wagner</v>
      </c>
      <c r="F814" s="7" t="str">
        <f ca="1">IFERROR(__xludf.DUMMYFUNCTION("""COMPUTED_VALUE"""),"MCC61")</f>
        <v>MCC61</v>
      </c>
      <c r="G814" s="7" t="str">
        <f ca="1">IFERROR(__xludf.DUMMYFUNCTION("""COMPUTED_VALUE"""),"Mercè Cabrera")</f>
        <v>Mercè Cabrera</v>
      </c>
      <c r="R814" s="7"/>
    </row>
    <row r="815" spans="5:18">
      <c r="E815" s="7" t="str">
        <f ca="1">IFERROR(__xludf.DUMMYFUNCTION("""COMPUTED_VALUE"""),"Miguel Garikoitz Calzada Uriondo")</f>
        <v>Miguel Garikoitz Calzada Uriondo</v>
      </c>
      <c r="F815" s="7" t="str">
        <f ca="1">IFERROR(__xludf.DUMMYFUNCTION("""COMPUTED_VALUE"""),"LRM261")</f>
        <v>LRM261</v>
      </c>
      <c r="G815" s="7" t="str">
        <f ca="1">IFERROR(__xludf.DUMMYFUNCTION("""COMPUTED_VALUE"""),"Lisandro Russian")</f>
        <v>Lisandro Russian</v>
      </c>
      <c r="R815" s="7"/>
    </row>
    <row r="816" spans="5:18">
      <c r="E816" s="7" t="str">
        <f ca="1">IFERROR(__xludf.DUMMYFUNCTION("""COMPUTED_VALUE"""),"Miguel Lucas Herrera")</f>
        <v>Miguel Lucas Herrera</v>
      </c>
      <c r="F816" s="7" t="str">
        <f ca="1">IFERROR(__xludf.DUMMYFUNCTION("""COMPUTED_VALUE"""),"ISL147")</f>
        <v>ISL147</v>
      </c>
      <c r="G816" s="7" t="str">
        <f ca="1">IFERROR(__xludf.DUMMYFUNCTION("""COMPUTED_VALUE"""),"Iván Sánchez")</f>
        <v>Iván Sánchez</v>
      </c>
      <c r="R816" s="7"/>
    </row>
    <row r="817" spans="5:18">
      <c r="E817" s="7" t="str">
        <f ca="1">IFERROR(__xludf.DUMMYFUNCTION("""COMPUTED_VALUE"""),"Miguel Mayo Yáñez")</f>
        <v>Miguel Mayo Yáñez</v>
      </c>
      <c r="F817" s="7" t="str">
        <f ca="1">IFERROR(__xludf.DUMMYFUNCTION("""COMPUTED_VALUE"""),"RPG28")</f>
        <v>RPG28</v>
      </c>
      <c r="G817" s="7" t="str">
        <f ca="1">IFERROR(__xludf.DUMMYFUNCTION("""COMPUTED_VALUE"""),"Roberto Pereira")</f>
        <v>Roberto Pereira</v>
      </c>
      <c r="R817" s="7"/>
    </row>
    <row r="818" spans="5:18">
      <c r="E818" s="7" t="str">
        <f ca="1">IFERROR(__xludf.DUMMYFUNCTION("""COMPUTED_VALUE"""),"Miguel Olivencia Pérez")</f>
        <v>Miguel Olivencia Pérez</v>
      </c>
      <c r="F818" s="7" t="str">
        <f ca="1">IFERROR(__xludf.DUMMYFUNCTION("""COMPUTED_VALUE"""),"LAA36")</f>
        <v>LAA36</v>
      </c>
      <c r="G818" s="7" t="str">
        <f ca="1">IFERROR(__xludf.DUMMYFUNCTION("""COMPUTED_VALUE"""),"Luis Alberto Rodríguez")</f>
        <v>Luis Alberto Rodríguez</v>
      </c>
      <c r="R818" s="7"/>
    </row>
    <row r="819" spans="5:18">
      <c r="E819" s="7" t="str">
        <f ca="1">IFERROR(__xludf.DUMMYFUNCTION("""COMPUTED_VALUE"""),"Miguel Orts Alborch")</f>
        <v>Miguel Orts Alborch</v>
      </c>
      <c r="F819" s="7" t="str">
        <f ca="1">IFERROR(__xludf.DUMMYFUNCTION("""COMPUTED_VALUE"""),"ISL73")</f>
        <v>ISL73</v>
      </c>
      <c r="G819" s="7" t="str">
        <f ca="1">IFERROR(__xludf.DUMMYFUNCTION("""COMPUTED_VALUE"""),"Iván Sánchez")</f>
        <v>Iván Sánchez</v>
      </c>
      <c r="R819" s="7"/>
    </row>
    <row r="820" spans="5:18">
      <c r="E820" s="7" t="str">
        <f ca="1">IFERROR(__xludf.DUMMYFUNCTION("""COMPUTED_VALUE"""),"Miguel Rodriguez Pérez")</f>
        <v>Miguel Rodriguez Pérez</v>
      </c>
      <c r="F820" s="7" t="str">
        <f ca="1">IFERROR(__xludf.DUMMYFUNCTION("""COMPUTED_VALUE"""),"LAA37")</f>
        <v>LAA37</v>
      </c>
      <c r="G820" s="7" t="str">
        <f ca="1">IFERROR(__xludf.DUMMYFUNCTION("""COMPUTED_VALUE"""),"Luis Alberto Rodríguez")</f>
        <v>Luis Alberto Rodríguez</v>
      </c>
      <c r="R820" s="7"/>
    </row>
    <row r="821" spans="5:18">
      <c r="E821" s="7" t="str">
        <f ca="1">IFERROR(__xludf.DUMMYFUNCTION("""COMPUTED_VALUE"""),"Miguel Vaca Encinas")</f>
        <v>Miguel Vaca Encinas</v>
      </c>
      <c r="F821" s="7" t="str">
        <f ca="1">IFERROR(__xludf.DUMMYFUNCTION("""COMPUTED_VALUE"""),"MBM67")</f>
        <v>MBM67</v>
      </c>
      <c r="G821" s="7" t="str">
        <f ca="1">IFERROR(__xludf.DUMMYFUNCTION("""COMPUTED_VALUE"""),"Maika Blázquez")</f>
        <v>Maika Blázquez</v>
      </c>
      <c r="R821" s="7"/>
    </row>
    <row r="822" spans="5:18">
      <c r="E822" s="7" t="str">
        <f ca="1">IFERROR(__xludf.DUMMYFUNCTION("""COMPUTED_VALUE"""),"Miguel Vaca González")</f>
        <v>Miguel Vaca González</v>
      </c>
      <c r="F822" s="7" t="str">
        <f ca="1">IFERROR(__xludf.DUMMYFUNCTION("""COMPUTED_VALUE"""),"MBM68")</f>
        <v>MBM68</v>
      </c>
      <c r="G822" s="7" t="str">
        <f ca="1">IFERROR(__xludf.DUMMYFUNCTION("""COMPUTED_VALUE"""),"Maika Blázquez")</f>
        <v>Maika Blázquez</v>
      </c>
      <c r="R822" s="7"/>
    </row>
    <row r="823" spans="5:18">
      <c r="E823" s="7" t="str">
        <f ca="1">IFERROR(__xludf.DUMMYFUNCTION("""COMPUTED_VALUE"""),"Milagros Marcos Ordoñez")</f>
        <v>Milagros Marcos Ordoñez</v>
      </c>
      <c r="F823" s="7" t="str">
        <f ca="1">IFERROR(__xludf.DUMMYFUNCTION("""COMPUTED_VALUE"""),"PSC46")</f>
        <v>PSC46</v>
      </c>
      <c r="G823" s="7" t="str">
        <f ca="1">IFERROR(__xludf.DUMMYFUNCTION("""COMPUTED_VALUE"""),"Patricia Solache")</f>
        <v>Patricia Solache</v>
      </c>
      <c r="R823" s="7"/>
    </row>
    <row r="824" spans="5:18">
      <c r="E824" s="7" t="str">
        <f ca="1">IFERROR(__xludf.DUMMYFUNCTION("""COMPUTED_VALUE"""),"Miquel Guirao Cano")</f>
        <v>Miquel Guirao Cano</v>
      </c>
      <c r="F824" s="7" t="str">
        <f ca="1">IFERROR(__xludf.DUMMYFUNCTION("""COMPUTED_VALUE"""),"MCC27")</f>
        <v>MCC27</v>
      </c>
      <c r="G824" s="7" t="str">
        <f ca="1">IFERROR(__xludf.DUMMYFUNCTION("""COMPUTED_VALUE"""),"Mercè Cabrera")</f>
        <v>Mercè Cabrera</v>
      </c>
      <c r="R824" s="7"/>
    </row>
    <row r="825" spans="5:18">
      <c r="E825" s="7" t="str">
        <f ca="1">IFERROR(__xludf.DUMMYFUNCTION("""COMPUTED_VALUE"""),"Mireia Bonet loscertales")</f>
        <v>Mireia Bonet loscertales</v>
      </c>
      <c r="F825" s="7" t="str">
        <f ca="1">IFERROR(__xludf.DUMMYFUNCTION("""COMPUTED_VALUE"""),"LRM217")</f>
        <v>LRM217</v>
      </c>
      <c r="G825" s="7" t="str">
        <f ca="1">IFERROR(__xludf.DUMMYFUNCTION("""COMPUTED_VALUE"""),"Lisandro Russian")</f>
        <v>Lisandro Russian</v>
      </c>
      <c r="R825" s="7"/>
    </row>
    <row r="826" spans="5:18">
      <c r="E826" s="7" t="str">
        <f ca="1">IFERROR(__xludf.DUMMYFUNCTION("""COMPUTED_VALUE"""),"Mireia Golet Fors")</f>
        <v>Mireia Golet Fors</v>
      </c>
      <c r="F826" s="7" t="str">
        <f ca="1">IFERROR(__xludf.DUMMYFUNCTION("""COMPUTED_VALUE"""),"MCC53")</f>
        <v>MCC53</v>
      </c>
      <c r="G826" s="7" t="str">
        <f ca="1">IFERROR(__xludf.DUMMYFUNCTION("""COMPUTED_VALUE"""),"Mercè Cabrera")</f>
        <v>Mercè Cabrera</v>
      </c>
      <c r="R826" s="7"/>
    </row>
    <row r="827" spans="5:18">
      <c r="E827" s="7" t="str">
        <f ca="1">IFERROR(__xludf.DUMMYFUNCTION("""COMPUTED_VALUE"""),"Mireya Bonet Loscertales")</f>
        <v>Mireya Bonet Loscertales</v>
      </c>
      <c r="F827" s="7" t="str">
        <f ca="1">IFERROR(__xludf.DUMMYFUNCTION("""COMPUTED_VALUE"""),"LRM218")</f>
        <v>LRM218</v>
      </c>
      <c r="G827" s="7" t="str">
        <f ca="1">IFERROR(__xludf.DUMMYFUNCTION("""COMPUTED_VALUE"""),"Lisandro Russian")</f>
        <v>Lisandro Russian</v>
      </c>
      <c r="R827" s="7"/>
    </row>
    <row r="828" spans="5:18">
      <c r="E828" s="7" t="str">
        <f ca="1">IFERROR(__xludf.DUMMYFUNCTION("""COMPUTED_VALUE"""),"Miriam García Lerma")</f>
        <v>Miriam García Lerma</v>
      </c>
      <c r="F828" s="7" t="str">
        <f ca="1">IFERROR(__xludf.DUMMYFUNCTION("""COMPUTED_VALUE"""),"LRM219")</f>
        <v>LRM219</v>
      </c>
      <c r="G828" s="7" t="str">
        <f ca="1">IFERROR(__xludf.DUMMYFUNCTION("""COMPUTED_VALUE"""),"Lisandro Russian")</f>
        <v>Lisandro Russian</v>
      </c>
      <c r="R828" s="7"/>
    </row>
    <row r="829" spans="5:18">
      <c r="E829" s="7" t="str">
        <f ca="1">IFERROR(__xludf.DUMMYFUNCTION("""COMPUTED_VALUE"""),"Miriam González García")</f>
        <v>Miriam González García</v>
      </c>
      <c r="F829" s="7" t="str">
        <f ca="1">IFERROR(__xludf.DUMMYFUNCTION("""COMPUTED_VALUE"""),"LAA88")</f>
        <v>LAA88</v>
      </c>
      <c r="G829" s="7" t="str">
        <f ca="1">IFERROR(__xludf.DUMMYFUNCTION("""COMPUTED_VALUE"""),"Luis Alberto Rodríguez")</f>
        <v>Luis Alberto Rodríguez</v>
      </c>
      <c r="R829" s="7"/>
    </row>
    <row r="830" spans="5:18">
      <c r="E830" s="7" t="str">
        <f ca="1">IFERROR(__xludf.DUMMYFUNCTION("""COMPUTED_VALUE"""),"Miriam Hamdham")</f>
        <v>Miriam Hamdham</v>
      </c>
      <c r="F830" s="7" t="str">
        <f ca="1">IFERROR(__xludf.DUMMYFUNCTION("""COMPUTED_VALUE"""),"MCC68")</f>
        <v>MCC68</v>
      </c>
      <c r="G830" s="7" t="str">
        <f ca="1">IFERROR(__xludf.DUMMYFUNCTION("""COMPUTED_VALUE"""),"Mercè Cabrera")</f>
        <v>Mercè Cabrera</v>
      </c>
      <c r="R830" s="7"/>
    </row>
    <row r="831" spans="5:18">
      <c r="E831" s="7" t="str">
        <f ca="1">IFERROR(__xludf.DUMMYFUNCTION("""COMPUTED_VALUE"""),"Miriam Ileana Hamdan Zavarce")</f>
        <v>Miriam Ileana Hamdan Zavarce</v>
      </c>
      <c r="F831" s="7" t="str">
        <f ca="1">IFERROR(__xludf.DUMMYFUNCTION("""COMPUTED_VALUE"""),"MCC69")</f>
        <v>MCC69</v>
      </c>
      <c r="G831" s="7" t="str">
        <f ca="1">IFERROR(__xludf.DUMMYFUNCTION("""COMPUTED_VALUE"""),"Mercè Cabrera")</f>
        <v>Mercè Cabrera</v>
      </c>
      <c r="R831" s="7"/>
    </row>
    <row r="832" spans="5:18">
      <c r="E832" s="7" t="str">
        <f ca="1">IFERROR(__xludf.DUMMYFUNCTION("""COMPUTED_VALUE"""),"Miriam Natsuki Oishi")</f>
        <v>Miriam Natsuki Oishi</v>
      </c>
      <c r="F832" s="7" t="str">
        <f ca="1">IFERROR(__xludf.DUMMYFUNCTION("""COMPUTED_VALUE"""),"RFV32")</f>
        <v>RFV32</v>
      </c>
      <c r="G832" s="7" t="str">
        <f ca="1">IFERROR(__xludf.DUMMYFUNCTION("""COMPUTED_VALUE"""),"Ramon Ferrando")</f>
        <v>Ramon Ferrando</v>
      </c>
      <c r="R832" s="7"/>
    </row>
    <row r="833" spans="5:18">
      <c r="E833" s="7" t="str">
        <f ca="1">IFERROR(__xludf.DUMMYFUNCTION("""COMPUTED_VALUE"""),"Mohamed Al Rifal Al Masti")</f>
        <v>Mohamed Al Rifal Al Masti</v>
      </c>
      <c r="F833" s="7" t="str">
        <f ca="1">IFERROR(__xludf.DUMMYFUNCTION("""COMPUTED_VALUE"""),"RPG29")</f>
        <v>RPG29</v>
      </c>
      <c r="G833" s="7" t="str">
        <f ca="1">IFERROR(__xludf.DUMMYFUNCTION("""COMPUTED_VALUE"""),"Roberto Pereira")</f>
        <v>Roberto Pereira</v>
      </c>
      <c r="R833" s="7"/>
    </row>
    <row r="834" spans="5:18">
      <c r="E834" s="7" t="str">
        <f ca="1">IFERROR(__xludf.DUMMYFUNCTION("""COMPUTED_VALUE"""),"Mónica Granda Rosales")</f>
        <v>Mónica Granda Rosales</v>
      </c>
      <c r="F834" s="7" t="str">
        <f ca="1">IFERROR(__xludf.DUMMYFUNCTION("""COMPUTED_VALUE"""),"PSC47")</f>
        <v>PSC47</v>
      </c>
      <c r="G834" s="7" t="str">
        <f ca="1">IFERROR(__xludf.DUMMYFUNCTION("""COMPUTED_VALUE"""),"Patricia Solache")</f>
        <v>Patricia Solache</v>
      </c>
      <c r="R834" s="7"/>
    </row>
    <row r="835" spans="5:18">
      <c r="E835" s="7" t="str">
        <f ca="1">IFERROR(__xludf.DUMMYFUNCTION("""COMPUTED_VALUE"""),"Mónica Hernando Cuñado")</f>
        <v>Mónica Hernando Cuñado</v>
      </c>
      <c r="F835" s="7" t="str">
        <f ca="1">IFERROR(__xludf.DUMMYFUNCTION("""COMPUTED_VALUE"""),"MBM159")</f>
        <v>MBM159</v>
      </c>
      <c r="G835" s="7" t="str">
        <f ca="1">IFERROR(__xludf.DUMMYFUNCTION("""COMPUTED_VALUE"""),"Maika Blázquez")</f>
        <v>Maika Blázquez</v>
      </c>
      <c r="R835" s="7"/>
    </row>
    <row r="836" spans="5:18">
      <c r="E836" s="7" t="str">
        <f ca="1">IFERROR(__xludf.DUMMYFUNCTION("""COMPUTED_VALUE"""),"Mónica Rodríguez Briceño")</f>
        <v>Mónica Rodríguez Briceño</v>
      </c>
      <c r="F836" s="7" t="str">
        <f ca="1">IFERROR(__xludf.DUMMYFUNCTION("""COMPUTED_VALUE"""),"ISL126")</f>
        <v>ISL126</v>
      </c>
      <c r="G836" s="7" t="str">
        <f ca="1">IFERROR(__xludf.DUMMYFUNCTION("""COMPUTED_VALUE"""),"Iván Sánchez")</f>
        <v>Iván Sánchez</v>
      </c>
      <c r="R836" s="7"/>
    </row>
    <row r="837" spans="5:18">
      <c r="E837" s="7" t="str">
        <f ca="1">IFERROR(__xludf.DUMMYFUNCTION("""COMPUTED_VALUE"""),"Mónica Rodríguez Valero")</f>
        <v>Mónica Rodríguez Valero</v>
      </c>
      <c r="F837" s="7" t="str">
        <f ca="1">IFERROR(__xludf.DUMMYFUNCTION("""COMPUTED_VALUE"""),"ISL141")</f>
        <v>ISL141</v>
      </c>
      <c r="G837" s="7" t="str">
        <f ca="1">IFERROR(__xludf.DUMMYFUNCTION("""COMPUTED_VALUE"""),"Iván Sánchez")</f>
        <v>Iván Sánchez</v>
      </c>
      <c r="R837" s="7"/>
    </row>
    <row r="838" spans="5:18">
      <c r="E838" s="7" t="str">
        <f ca="1">IFERROR(__xludf.DUMMYFUNCTION("""COMPUTED_VALUE"""),"Mónica Rueda Vega")</f>
        <v>Mónica Rueda Vega</v>
      </c>
      <c r="F838" s="7" t="str">
        <f ca="1">IFERROR(__xludf.DUMMYFUNCTION("""COMPUTED_VALUE"""),"LRM268")</f>
        <v>LRM268</v>
      </c>
      <c r="G838" s="7" t="str">
        <f ca="1">IFERROR(__xludf.DUMMYFUNCTION("""COMPUTED_VALUE"""),"Lisandro Russian")</f>
        <v>Lisandro Russian</v>
      </c>
      <c r="R838" s="7"/>
    </row>
    <row r="839" spans="5:18">
      <c r="E839" s="7" t="str">
        <f ca="1">IFERROR(__xludf.DUMMYFUNCTION("""COMPUTED_VALUE"""),"Montserrat Portell Soriano")</f>
        <v>Montserrat Portell Soriano</v>
      </c>
      <c r="F839" s="7" t="str">
        <f ca="1">IFERROR(__xludf.DUMMYFUNCTION("""COMPUTED_VALUE"""),"MBM160")</f>
        <v>MBM160</v>
      </c>
      <c r="G839" s="7" t="str">
        <f ca="1">IFERROR(__xludf.DUMMYFUNCTION("""COMPUTED_VALUE"""),"Maika Blázquez")</f>
        <v>Maika Blázquez</v>
      </c>
      <c r="R839" s="7"/>
    </row>
    <row r="840" spans="5:18">
      <c r="E840" s="7" t="str">
        <f ca="1">IFERROR(__xludf.DUMMYFUNCTION("""COMPUTED_VALUE"""),"Mustafá Kadiri")</f>
        <v>Mustafá Kadiri</v>
      </c>
      <c r="F840" s="7" t="str">
        <f ca="1">IFERROR(__xludf.DUMMYFUNCTION("""COMPUTED_VALUE"""),"MCC28")</f>
        <v>MCC28</v>
      </c>
      <c r="G840" s="7" t="str">
        <f ca="1">IFERROR(__xludf.DUMMYFUNCTION("""COMPUTED_VALUE"""),"Mercè Cabrera")</f>
        <v>Mercè Cabrera</v>
      </c>
      <c r="R840" s="7"/>
    </row>
    <row r="841" spans="5:18">
      <c r="E841" s="7" t="str">
        <f ca="1">IFERROR(__xludf.DUMMYFUNCTION("""COMPUTED_VALUE"""),"Natalia Gisseth Pulido Fonseca")</f>
        <v>Natalia Gisseth Pulido Fonseca</v>
      </c>
      <c r="F841" s="7" t="str">
        <f ca="1">IFERROR(__xludf.DUMMYFUNCTION("""COMPUTED_VALUE"""),"LRM220")</f>
        <v>LRM220</v>
      </c>
      <c r="G841" s="7" t="str">
        <f ca="1">IFERROR(__xludf.DUMMYFUNCTION("""COMPUTED_VALUE"""),"Lisandro Russian")</f>
        <v>Lisandro Russian</v>
      </c>
      <c r="R841" s="7"/>
    </row>
    <row r="842" spans="5:18">
      <c r="E842" s="7" t="str">
        <f ca="1">IFERROR(__xludf.DUMMYFUNCTION("""COMPUTED_VALUE"""),"Nataly Montaño Rueda")</f>
        <v>Nataly Montaño Rueda</v>
      </c>
      <c r="F842" s="7" t="str">
        <f ca="1">IFERROR(__xludf.DUMMYFUNCTION("""COMPUTED_VALUE"""),"MBM161")</f>
        <v>MBM161</v>
      </c>
      <c r="G842" s="7" t="str">
        <f ca="1">IFERROR(__xludf.DUMMYFUNCTION("""COMPUTED_VALUE"""),"Maika Blázquez")</f>
        <v>Maika Blázquez</v>
      </c>
      <c r="R842" s="7"/>
    </row>
    <row r="843" spans="5:18">
      <c r="E843" s="7" t="str">
        <f ca="1">IFERROR(__xludf.DUMMYFUNCTION("""COMPUTED_VALUE"""),"Natasha Pérez Marrero")</f>
        <v>Natasha Pérez Marrero</v>
      </c>
      <c r="F843" s="7" t="str">
        <f ca="1">IFERROR(__xludf.DUMMYFUNCTION("""COMPUTED_VALUE"""),"MBM162")</f>
        <v>MBM162</v>
      </c>
      <c r="G843" s="7" t="str">
        <f ca="1">IFERROR(__xludf.DUMMYFUNCTION("""COMPUTED_VALUE"""),"Maika Blázquez")</f>
        <v>Maika Blázquez</v>
      </c>
      <c r="R843" s="7"/>
    </row>
    <row r="844" spans="5:18">
      <c r="E844" s="7" t="str">
        <f ca="1">IFERROR(__xludf.DUMMYFUNCTION("""COMPUTED_VALUE"""),"Nathalie Fages Cárceles")</f>
        <v>Nathalie Fages Cárceles</v>
      </c>
      <c r="F844" s="7" t="str">
        <f ca="1">IFERROR(__xludf.DUMMYFUNCTION("""COMPUTED_VALUE"""),"ISL127")</f>
        <v>ISL127</v>
      </c>
      <c r="G844" s="7" t="str">
        <f ca="1">IFERROR(__xludf.DUMMYFUNCTION("""COMPUTED_VALUE"""),"Iván Sánchez")</f>
        <v>Iván Sánchez</v>
      </c>
      <c r="R844" s="7"/>
    </row>
    <row r="845" spans="5:18">
      <c r="E845" s="7" t="str">
        <f ca="1">IFERROR(__xludf.DUMMYFUNCTION("""COMPUTED_VALUE"""),"Nesly Illely González Sánchez")</f>
        <v>Nesly Illely González Sánchez</v>
      </c>
      <c r="F845" s="7" t="str">
        <f ca="1">IFERROR(__xludf.DUMMYFUNCTION("""COMPUTED_VALUE"""),"MCC70")</f>
        <v>MCC70</v>
      </c>
      <c r="G845" s="7" t="str">
        <f ca="1">IFERROR(__xludf.DUMMYFUNCTION("""COMPUTED_VALUE"""),"Mercè Cabrera")</f>
        <v>Mercè Cabrera</v>
      </c>
      <c r="R845" s="7"/>
    </row>
    <row r="846" spans="5:18">
      <c r="E846" s="7" t="str">
        <f ca="1">IFERROR(__xludf.DUMMYFUNCTION("""COMPUTED_VALUE"""),"Ninfa Alejandra Álvarez Morales")</f>
        <v>Ninfa Alejandra Álvarez Morales</v>
      </c>
      <c r="F846" s="7" t="str">
        <f ca="1">IFERROR(__xludf.DUMMYFUNCTION("""COMPUTED_VALUE"""),"LRM221")</f>
        <v>LRM221</v>
      </c>
      <c r="G846" s="7" t="str">
        <f ca="1">IFERROR(__xludf.DUMMYFUNCTION("""COMPUTED_VALUE"""),"Lisandro Russian")</f>
        <v>Lisandro Russian</v>
      </c>
      <c r="R846" s="7"/>
    </row>
    <row r="847" spans="5:18">
      <c r="E847" s="7" t="str">
        <f ca="1">IFERROR(__xludf.DUMMYFUNCTION("""COMPUTED_VALUE"""),"Noelia García García")</f>
        <v>Noelia García García</v>
      </c>
      <c r="F847" s="7" t="str">
        <f ca="1">IFERROR(__xludf.DUMMYFUNCTION("""COMPUTED_VALUE"""),"LAA67")</f>
        <v>LAA67</v>
      </c>
      <c r="G847" s="7" t="str">
        <f ca="1">IFERROR(__xludf.DUMMYFUNCTION("""COMPUTED_VALUE"""),"Luis Alberto Rodríguez")</f>
        <v>Luis Alberto Rodríguez</v>
      </c>
      <c r="R847" s="7"/>
    </row>
    <row r="848" spans="5:18">
      <c r="E848" s="7" t="str">
        <f ca="1">IFERROR(__xludf.DUMMYFUNCTION("""COMPUTED_VALUE"""),"Noelia Sanchez Cano")</f>
        <v>Noelia Sanchez Cano</v>
      </c>
      <c r="F848" s="7" t="str">
        <f ca="1">IFERROR(__xludf.DUMMYFUNCTION("""COMPUTED_VALUE"""),"LRM266")</f>
        <v>LRM266</v>
      </c>
      <c r="G848" s="7" t="str">
        <f ca="1">IFERROR(__xludf.DUMMYFUNCTION("""COMPUTED_VALUE"""),"Lisandro Russian")</f>
        <v>Lisandro Russian</v>
      </c>
      <c r="R848" s="7"/>
    </row>
    <row r="849" spans="5:18">
      <c r="E849" s="7" t="str">
        <f ca="1">IFERROR(__xludf.DUMMYFUNCTION("""COMPUTED_VALUE"""),"Nuria Arnaiz Canora")</f>
        <v>Nuria Arnaiz Canora</v>
      </c>
      <c r="F849" s="7" t="str">
        <f ca="1">IFERROR(__xludf.DUMMYFUNCTION("""COMPUTED_VALUE"""),"LRM222")</f>
        <v>LRM222</v>
      </c>
      <c r="G849" s="7" t="str">
        <f ca="1">IFERROR(__xludf.DUMMYFUNCTION("""COMPUTED_VALUE"""),"Lisandro Russian")</f>
        <v>Lisandro Russian</v>
      </c>
      <c r="R849" s="7"/>
    </row>
    <row r="850" spans="5:18">
      <c r="E850" s="7" t="str">
        <f ca="1">IFERROR(__xludf.DUMMYFUNCTION("""COMPUTED_VALUE"""),"Nuria Mesuro Domínguez")</f>
        <v>Nuria Mesuro Domínguez</v>
      </c>
      <c r="F850" s="7" t="str">
        <f ca="1">IFERROR(__xludf.DUMMYFUNCTION("""COMPUTED_VALUE"""),"PSC48")</f>
        <v>PSC48</v>
      </c>
      <c r="G850" s="7" t="str">
        <f ca="1">IFERROR(__xludf.DUMMYFUNCTION("""COMPUTED_VALUE"""),"Patricia Solache")</f>
        <v>Patricia Solache</v>
      </c>
      <c r="R850" s="7"/>
    </row>
    <row r="851" spans="5:18">
      <c r="E851" s="7" t="str">
        <f ca="1">IFERROR(__xludf.DUMMYFUNCTION("""COMPUTED_VALUE"""),"Nuria Pérez Martín")</f>
        <v>Nuria Pérez Martín</v>
      </c>
      <c r="F851" s="7" t="str">
        <f ca="1">IFERROR(__xludf.DUMMYFUNCTION("""COMPUTED_VALUE"""),"MBM163")</f>
        <v>MBM163</v>
      </c>
      <c r="G851" s="7" t="str">
        <f ca="1">IFERROR(__xludf.DUMMYFUNCTION("""COMPUTED_VALUE"""),"Maika Blázquez")</f>
        <v>Maika Blázquez</v>
      </c>
      <c r="R851" s="7"/>
    </row>
    <row r="852" spans="5:18">
      <c r="E852" s="7" t="str">
        <f ca="1">IFERROR(__xludf.DUMMYFUNCTION("""COMPUTED_VALUE"""),"Nuria Salas Barrio")</f>
        <v>Nuria Salas Barrio</v>
      </c>
      <c r="F852" s="7" t="str">
        <f ca="1">IFERROR(__xludf.DUMMYFUNCTION("""COMPUTED_VALUE"""),"ISL128")</f>
        <v>ISL128</v>
      </c>
      <c r="G852" s="7" t="str">
        <f ca="1">IFERROR(__xludf.DUMMYFUNCTION("""COMPUTED_VALUE"""),"Iván Sánchez")</f>
        <v>Iván Sánchez</v>
      </c>
      <c r="R852" s="7"/>
    </row>
    <row r="853" spans="5:18">
      <c r="E853" s="7" t="str">
        <f ca="1">IFERROR(__xludf.DUMMYFUNCTION("""COMPUTED_VALUE"""),"Oishi Konari")</f>
        <v>Oishi Konari</v>
      </c>
      <c r="F853" s="7" t="str">
        <f ca="1">IFERROR(__xludf.DUMMYFUNCTION("""COMPUTED_VALUE"""),"RFV23")</f>
        <v>RFV23</v>
      </c>
      <c r="G853" s="7" t="str">
        <f ca="1">IFERROR(__xludf.DUMMYFUNCTION("""COMPUTED_VALUE"""),"Ramon Ferrando")</f>
        <v>Ramon Ferrando</v>
      </c>
      <c r="R853" s="7"/>
    </row>
    <row r="854" spans="5:18">
      <c r="E854" s="7" t="str">
        <f ca="1">IFERROR(__xludf.DUMMYFUNCTION("""COMPUTED_VALUE"""),"Oksana Guts MelnYk")</f>
        <v>Oksana Guts MelnYk</v>
      </c>
      <c r="F854" s="7" t="str">
        <f ca="1">IFERROR(__xludf.DUMMYFUNCTION("""COMPUTED_VALUE"""),"ISL129")</f>
        <v>ISL129</v>
      </c>
      <c r="G854" s="7" t="str">
        <f ca="1">IFERROR(__xludf.DUMMYFUNCTION("""COMPUTED_VALUE"""),"Iván Sánchez")</f>
        <v>Iván Sánchez</v>
      </c>
      <c r="R854" s="7"/>
    </row>
    <row r="855" spans="5:18">
      <c r="E855" s="7" t="str">
        <f ca="1">IFERROR(__xludf.DUMMYFUNCTION("""COMPUTED_VALUE"""),"Olaia Herrera Del Val")</f>
        <v>Olaia Herrera Del Val</v>
      </c>
      <c r="F855" s="7" t="str">
        <f ca="1">IFERROR(__xludf.DUMMYFUNCTION("""COMPUTED_VALUE"""),"LRM223")</f>
        <v>LRM223</v>
      </c>
      <c r="G855" s="7" t="str">
        <f ca="1">IFERROR(__xludf.DUMMYFUNCTION("""COMPUTED_VALUE"""),"Lisandro Russian")</f>
        <v>Lisandro Russian</v>
      </c>
      <c r="R855" s="7"/>
    </row>
    <row r="856" spans="5:18">
      <c r="E856" s="7" t="str">
        <f ca="1">IFERROR(__xludf.DUMMYFUNCTION("""COMPUTED_VALUE"""),"Olalla Castro Macia")</f>
        <v>Olalla Castro Macia</v>
      </c>
      <c r="F856" s="7" t="str">
        <f ca="1">IFERROR(__xludf.DUMMYFUNCTION("""COMPUTED_VALUE"""),"RPG53")</f>
        <v>RPG53</v>
      </c>
      <c r="G856" s="7" t="str">
        <f ca="1">IFERROR(__xludf.DUMMYFUNCTION("""COMPUTED_VALUE"""),"Roberto Pereira")</f>
        <v>Roberto Pereira</v>
      </c>
      <c r="R856" s="7"/>
    </row>
    <row r="857" spans="5:18">
      <c r="E857" s="7" t="str">
        <f ca="1">IFERROR(__xludf.DUMMYFUNCTION("""COMPUTED_VALUE"""),"Olga Aldecoa Jiménez")</f>
        <v>Olga Aldecoa Jiménez</v>
      </c>
      <c r="F857" s="7" t="str">
        <f ca="1">IFERROR(__xludf.DUMMYFUNCTION("""COMPUTED_VALUE"""),"LRM224")</f>
        <v>LRM224</v>
      </c>
      <c r="G857" s="7" t="str">
        <f ca="1">IFERROR(__xludf.DUMMYFUNCTION("""COMPUTED_VALUE"""),"Lisandro Russian")</f>
        <v>Lisandro Russian</v>
      </c>
      <c r="R857" s="7"/>
    </row>
    <row r="858" spans="5:18">
      <c r="E858" s="7" t="str">
        <f ca="1">IFERROR(__xludf.DUMMYFUNCTION("""COMPUTED_VALUE"""),"Olga Ferrer Andino")</f>
        <v>Olga Ferrer Andino</v>
      </c>
      <c r="F858" s="7" t="str">
        <f ca="1">IFERROR(__xludf.DUMMYFUNCTION("""COMPUTED_VALUE"""),"MCC54")</f>
        <v>MCC54</v>
      </c>
      <c r="G858" s="7" t="str">
        <f ca="1">IFERROR(__xludf.DUMMYFUNCTION("""COMPUTED_VALUE"""),"Mercè Cabrera")</f>
        <v>Mercè Cabrera</v>
      </c>
      <c r="R858" s="7"/>
    </row>
    <row r="859" spans="5:18">
      <c r="E859" s="7" t="str">
        <f ca="1">IFERROR(__xludf.DUMMYFUNCTION("""COMPUTED_VALUE"""),"Oreana Carolina Camacaro González")</f>
        <v>Oreana Carolina Camacaro González</v>
      </c>
      <c r="F859" s="7" t="str">
        <f ca="1">IFERROR(__xludf.DUMMYFUNCTION("""COMPUTED_VALUE"""),"ISL136")</f>
        <v>ISL136</v>
      </c>
      <c r="G859" s="7" t="str">
        <f ca="1">IFERROR(__xludf.DUMMYFUNCTION("""COMPUTED_VALUE"""),"Iván Sánchez")</f>
        <v>Iván Sánchez</v>
      </c>
      <c r="R859" s="7"/>
    </row>
    <row r="860" spans="5:18">
      <c r="E860" s="7" t="str">
        <f ca="1">IFERROR(__xludf.DUMMYFUNCTION("""COMPUTED_VALUE"""),"Oscar A, Sánchez Valenzuela")</f>
        <v>Oscar A, Sánchez Valenzuela</v>
      </c>
      <c r="F860" s="7" t="str">
        <f ca="1">IFERROR(__xludf.DUMMYFUNCTION("""COMPUTED_VALUE"""),"MBM69")</f>
        <v>MBM69</v>
      </c>
      <c r="G860" s="7" t="str">
        <f ca="1">IFERROR(__xludf.DUMMYFUNCTION("""COMPUTED_VALUE"""),"Maika Blázquez")</f>
        <v>Maika Blázquez</v>
      </c>
      <c r="R860" s="7"/>
    </row>
    <row r="861" spans="5:18">
      <c r="E861" s="7" t="str">
        <f ca="1">IFERROR(__xludf.DUMMYFUNCTION("""COMPUTED_VALUE"""),"Oscar Alemán López")</f>
        <v>Oscar Alemán López</v>
      </c>
      <c r="F861" s="7" t="str">
        <f ca="1">IFERROR(__xludf.DUMMYFUNCTION("""COMPUTED_VALUE"""),"ISL74")</f>
        <v>ISL74</v>
      </c>
      <c r="G861" s="7" t="str">
        <f ca="1">IFERROR(__xludf.DUMMYFUNCTION("""COMPUTED_VALUE"""),"Iván Sánchez")</f>
        <v>Iván Sánchez</v>
      </c>
      <c r="R861" s="7"/>
    </row>
    <row r="862" spans="5:18">
      <c r="E862" s="7" t="str">
        <f ca="1">IFERROR(__xludf.DUMMYFUNCTION("""COMPUTED_VALUE"""),"Óscar Alfonso Arenas Britez")</f>
        <v>Óscar Alfonso Arenas Britez</v>
      </c>
      <c r="F862" s="7" t="str">
        <f ca="1">IFERROR(__xludf.DUMMYFUNCTION("""COMPUTED_VALUE"""),"MBM70")</f>
        <v>MBM70</v>
      </c>
      <c r="G862" s="7" t="str">
        <f ca="1">IFERROR(__xludf.DUMMYFUNCTION("""COMPUTED_VALUE"""),"Maika Blázquez")</f>
        <v>Maika Blázquez</v>
      </c>
      <c r="R862" s="7"/>
    </row>
    <row r="863" spans="5:18">
      <c r="E863" s="7" t="str">
        <f ca="1">IFERROR(__xludf.DUMMYFUNCTION("""COMPUTED_VALUE"""),"Pablo Alejandro Rojas Rodríguez")</f>
        <v>Pablo Alejandro Rojas Rodríguez</v>
      </c>
      <c r="F863" s="7" t="str">
        <f ca="1">IFERROR(__xludf.DUMMYFUNCTION("""COMPUTED_VALUE"""),"LAA38")</f>
        <v>LAA38</v>
      </c>
      <c r="G863" s="7" t="str">
        <f ca="1">IFERROR(__xludf.DUMMYFUNCTION("""COMPUTED_VALUE"""),"Luis Alberto Rodríguez")</f>
        <v>Luis Alberto Rodríguez</v>
      </c>
      <c r="R863" s="7"/>
    </row>
    <row r="864" spans="5:18">
      <c r="E864" s="7" t="str">
        <f ca="1">IFERROR(__xludf.DUMMYFUNCTION("""COMPUTED_VALUE"""),"Pablo García González")</f>
        <v>Pablo García González</v>
      </c>
      <c r="F864" s="7" t="str">
        <f ca="1">IFERROR(__xludf.DUMMYFUNCTION("""COMPUTED_VALUE"""),"MBM71")</f>
        <v>MBM71</v>
      </c>
      <c r="G864" s="7" t="str">
        <f ca="1">IFERROR(__xludf.DUMMYFUNCTION("""COMPUTED_VALUE"""),"Maika Blázquez")</f>
        <v>Maika Blázquez</v>
      </c>
      <c r="R864" s="7"/>
    </row>
    <row r="865" spans="5:18">
      <c r="E865" s="7" t="str">
        <f ca="1">IFERROR(__xludf.DUMMYFUNCTION("""COMPUTED_VALUE"""),"Pablo Luis Vega Gajón")</f>
        <v>Pablo Luis Vega Gajón</v>
      </c>
      <c r="F865" s="7" t="str">
        <f ca="1">IFERROR(__xludf.DUMMYFUNCTION("""COMPUTED_VALUE"""),"LRM267")</f>
        <v>LRM267</v>
      </c>
      <c r="G865" s="7" t="str">
        <f ca="1">IFERROR(__xludf.DUMMYFUNCTION("""COMPUTED_VALUE"""),"Lisandro Russian")</f>
        <v>Lisandro Russian</v>
      </c>
      <c r="R865" s="7"/>
    </row>
    <row r="866" spans="5:18">
      <c r="E866" s="7" t="str">
        <f ca="1">IFERROR(__xludf.DUMMYFUNCTION("""COMPUTED_VALUE"""),"Pablo Sarrio Solera")</f>
        <v>Pablo Sarrio Solera</v>
      </c>
      <c r="F866" s="7" t="str">
        <f ca="1">IFERROR(__xludf.DUMMYFUNCTION("""COMPUTED_VALUE"""),"LRM108")</f>
        <v>LRM108</v>
      </c>
      <c r="G866" s="7" t="str">
        <f ca="1">IFERROR(__xludf.DUMMYFUNCTION("""COMPUTED_VALUE"""),"Lisandro Russian")</f>
        <v>Lisandro Russian</v>
      </c>
      <c r="R866" s="7"/>
    </row>
    <row r="867" spans="5:18">
      <c r="E867" s="7" t="str">
        <f ca="1">IFERROR(__xludf.DUMMYFUNCTION("""COMPUTED_VALUE"""),"Pablo Vergés Fort")</f>
        <v>Pablo Vergés Fort</v>
      </c>
      <c r="F867" s="7" t="str">
        <f ca="1">IFERROR(__xludf.DUMMYFUNCTION("""COMPUTED_VALUE"""),"MCC29")</f>
        <v>MCC29</v>
      </c>
      <c r="G867" s="7" t="str">
        <f ca="1">IFERROR(__xludf.DUMMYFUNCTION("""COMPUTED_VALUE"""),"Mercè Cabrera")</f>
        <v>Mercè Cabrera</v>
      </c>
      <c r="R867" s="7"/>
    </row>
    <row r="868" spans="5:18">
      <c r="E868" s="7" t="str">
        <f ca="1">IFERROR(__xludf.DUMMYFUNCTION("""COMPUTED_VALUE"""),"Paloma Álvarez Hernández")</f>
        <v>Paloma Álvarez Hernández</v>
      </c>
      <c r="F868" s="7" t="str">
        <f ca="1">IFERROR(__xludf.DUMMYFUNCTION("""COMPUTED_VALUE"""),"LRM226")</f>
        <v>LRM226</v>
      </c>
      <c r="G868" s="7" t="str">
        <f ca="1">IFERROR(__xludf.DUMMYFUNCTION("""COMPUTED_VALUE"""),"Lisandro Russian")</f>
        <v>Lisandro Russian</v>
      </c>
      <c r="R868" s="7"/>
    </row>
    <row r="869" spans="5:18">
      <c r="E869" s="7" t="str">
        <f ca="1">IFERROR(__xludf.DUMMYFUNCTION("""COMPUTED_VALUE"""),"Paloma Martín Díaz")</f>
        <v>Paloma Martín Díaz</v>
      </c>
      <c r="F869" s="7" t="str">
        <f ca="1">IFERROR(__xludf.DUMMYFUNCTION("""COMPUTED_VALUE"""),"LAA73")</f>
        <v>LAA73</v>
      </c>
      <c r="G869" s="7" t="str">
        <f ca="1">IFERROR(__xludf.DUMMYFUNCTION("""COMPUTED_VALUE"""),"Luis Alberto Rodríguez")</f>
        <v>Luis Alberto Rodríguez</v>
      </c>
      <c r="R869" s="7"/>
    </row>
    <row r="870" spans="5:18">
      <c r="E870" s="7" t="str">
        <f ca="1">IFERROR(__xludf.DUMMYFUNCTION("""COMPUTED_VALUE"""),"Paloma Martín-Aragón Martín")</f>
        <v>Paloma Martín-Aragón Martín</v>
      </c>
      <c r="F870" s="7" t="str">
        <f ca="1">IFERROR(__xludf.DUMMYFUNCTION("""COMPUTED_VALUE"""),"MBM164")</f>
        <v>MBM164</v>
      </c>
      <c r="G870" s="7" t="str">
        <f ca="1">IFERROR(__xludf.DUMMYFUNCTION("""COMPUTED_VALUE"""),"Maika Blázquez")</f>
        <v>Maika Blázquez</v>
      </c>
      <c r="R870" s="7"/>
    </row>
    <row r="871" spans="5:18">
      <c r="E871" s="7" t="str">
        <f ca="1">IFERROR(__xludf.DUMMYFUNCTION("""COMPUTED_VALUE"""),"Paloma Pinacho Martínez")</f>
        <v>Paloma Pinacho Martínez</v>
      </c>
      <c r="F871" s="7" t="str">
        <f ca="1">IFERROR(__xludf.DUMMYFUNCTION("""COMPUTED_VALUE"""),"MBM165")</f>
        <v>MBM165</v>
      </c>
      <c r="G871" s="7" t="str">
        <f ca="1">IFERROR(__xludf.DUMMYFUNCTION("""COMPUTED_VALUE"""),"Maika Blázquez")</f>
        <v>Maika Blázquez</v>
      </c>
      <c r="R871" s="7"/>
    </row>
    <row r="872" spans="5:18">
      <c r="E872" s="7" t="str">
        <f ca="1">IFERROR(__xludf.DUMMYFUNCTION("""COMPUTED_VALUE"""),"Patricia Ezcurra Hernández")</f>
        <v>Patricia Ezcurra Hernández</v>
      </c>
      <c r="F872" s="7" t="str">
        <f ca="1">IFERROR(__xludf.DUMMYFUNCTION("""COMPUTED_VALUE"""),"LRM227")</f>
        <v>LRM227</v>
      </c>
      <c r="G872" s="7" t="str">
        <f ca="1">IFERROR(__xludf.DUMMYFUNCTION("""COMPUTED_VALUE"""),"Lisandro Russian")</f>
        <v>Lisandro Russian</v>
      </c>
      <c r="R872" s="7"/>
    </row>
    <row r="873" spans="5:18">
      <c r="E873" s="7" t="str">
        <f ca="1">IFERROR(__xludf.DUMMYFUNCTION("""COMPUTED_VALUE"""),"Patricia García Vicente")</f>
        <v>Patricia García Vicente</v>
      </c>
      <c r="F873" s="7" t="str">
        <f ca="1">IFERROR(__xludf.DUMMYFUNCTION("""COMPUTED_VALUE"""),"MBM166")</f>
        <v>MBM166</v>
      </c>
      <c r="G873" s="7" t="str">
        <f ca="1">IFERROR(__xludf.DUMMYFUNCTION("""COMPUTED_VALUE"""),"Maika Blázquez")</f>
        <v>Maika Blázquez</v>
      </c>
      <c r="R873" s="7"/>
    </row>
    <row r="874" spans="5:18">
      <c r="E874" s="7" t="str">
        <f ca="1">IFERROR(__xludf.DUMMYFUNCTION("""COMPUTED_VALUE"""),"Patricia Viveros Diez")</f>
        <v>Patricia Viveros Diez</v>
      </c>
      <c r="F874" s="7" t="str">
        <f ca="1">IFERROR(__xludf.DUMMYFUNCTION("""COMPUTED_VALUE"""),"PSC49")</f>
        <v>PSC49</v>
      </c>
      <c r="G874" s="7" t="str">
        <f ca="1">IFERROR(__xludf.DUMMYFUNCTION("""COMPUTED_VALUE"""),"Patricia Solache")</f>
        <v>Patricia Solache</v>
      </c>
      <c r="R874" s="7"/>
    </row>
    <row r="875" spans="5:18">
      <c r="E875" s="7" t="str">
        <f ca="1">IFERROR(__xludf.DUMMYFUNCTION("""COMPUTED_VALUE"""),"Paula Aragón Ramos")</f>
        <v>Paula Aragón Ramos</v>
      </c>
      <c r="F875" s="7" t="str">
        <f ca="1">IFERROR(__xludf.DUMMYFUNCTION("""COMPUTED_VALUE"""),"MBM167")</f>
        <v>MBM167</v>
      </c>
      <c r="G875" s="7" t="str">
        <f ca="1">IFERROR(__xludf.DUMMYFUNCTION("""COMPUTED_VALUE"""),"Maika Blázquez")</f>
        <v>Maika Blázquez</v>
      </c>
      <c r="R875" s="7"/>
    </row>
    <row r="876" spans="5:18">
      <c r="E876" s="7" t="str">
        <f ca="1">IFERROR(__xludf.DUMMYFUNCTION("""COMPUTED_VALUE"""),"Paula Aviles Mañoso")</f>
        <v>Paula Aviles Mañoso</v>
      </c>
      <c r="F876" s="7" t="str">
        <f ca="1">IFERROR(__xludf.DUMMYFUNCTION("""COMPUTED_VALUE"""),"MBM168")</f>
        <v>MBM168</v>
      </c>
      <c r="G876" s="7" t="str">
        <f ca="1">IFERROR(__xludf.DUMMYFUNCTION("""COMPUTED_VALUE"""),"Maika Blázquez")</f>
        <v>Maika Blázquez</v>
      </c>
      <c r="R876" s="7"/>
    </row>
    <row r="877" spans="5:18">
      <c r="E877" s="7" t="str">
        <f ca="1">IFERROR(__xludf.DUMMYFUNCTION("""COMPUTED_VALUE"""),"Paula del Valle Gómez")</f>
        <v>Paula del Valle Gómez</v>
      </c>
      <c r="F877" s="7" t="str">
        <f ca="1">IFERROR(__xludf.DUMMYFUNCTION("""COMPUTED_VALUE"""),"MBM169")</f>
        <v>MBM169</v>
      </c>
      <c r="G877" s="7" t="str">
        <f ca="1">IFERROR(__xludf.DUMMYFUNCTION("""COMPUTED_VALUE"""),"Maika Blázquez")</f>
        <v>Maika Blázquez</v>
      </c>
      <c r="R877" s="7"/>
    </row>
    <row r="878" spans="5:18">
      <c r="E878" s="7" t="str">
        <f ca="1">IFERROR(__xludf.DUMMYFUNCTION("""COMPUTED_VALUE"""),"Paula Hernández Ruíz")</f>
        <v>Paula Hernández Ruíz</v>
      </c>
      <c r="F878" s="7" t="str">
        <f ca="1">IFERROR(__xludf.DUMMYFUNCTION("""COMPUTED_VALUE"""),"ISL130")</f>
        <v>ISL130</v>
      </c>
      <c r="G878" s="7" t="str">
        <f ca="1">IFERROR(__xludf.DUMMYFUNCTION("""COMPUTED_VALUE"""),"Iván Sánchez")</f>
        <v>Iván Sánchez</v>
      </c>
      <c r="R878" s="7"/>
    </row>
    <row r="879" spans="5:18">
      <c r="E879" s="7" t="str">
        <f ca="1">IFERROR(__xludf.DUMMYFUNCTION("""COMPUTED_VALUE"""),"Paula López Mesa")</f>
        <v>Paula López Mesa</v>
      </c>
      <c r="F879" s="7" t="str">
        <f ca="1">IFERROR(__xludf.DUMMYFUNCTION("""COMPUTED_VALUE"""),"MCC55")</f>
        <v>MCC55</v>
      </c>
      <c r="G879" s="7" t="str">
        <f ca="1">IFERROR(__xludf.DUMMYFUNCTION("""COMPUTED_VALUE"""),"Mercè Cabrera")</f>
        <v>Mercè Cabrera</v>
      </c>
      <c r="R879" s="7"/>
    </row>
    <row r="880" spans="5:18">
      <c r="E880" s="7" t="str">
        <f ca="1">IFERROR(__xludf.DUMMYFUNCTION("""COMPUTED_VALUE"""),"Paula Martinez Pascual")</f>
        <v>Paula Martinez Pascual</v>
      </c>
      <c r="F880" s="7" t="str">
        <f ca="1">IFERROR(__xludf.DUMMYFUNCTION("""COMPUTED_VALUE"""),"MBM170")</f>
        <v>MBM170</v>
      </c>
      <c r="G880" s="7" t="str">
        <f ca="1">IFERROR(__xludf.DUMMYFUNCTION("""COMPUTED_VALUE"""),"Maika Blázquez")</f>
        <v>Maika Blázquez</v>
      </c>
      <c r="R880" s="7"/>
    </row>
    <row r="881" spans="5:18">
      <c r="E881" s="7" t="str">
        <f ca="1">IFERROR(__xludf.DUMMYFUNCTION("""COMPUTED_VALUE"""),"Paula Martínez Ruiz de Apodaca")</f>
        <v>Paula Martínez Ruiz de Apodaca</v>
      </c>
      <c r="F881" s="7" t="str">
        <f ca="1">IFERROR(__xludf.DUMMYFUNCTION("""COMPUTED_VALUE"""),"RFV37")</f>
        <v>RFV37</v>
      </c>
      <c r="G881" s="7" t="str">
        <f ca="1">IFERROR(__xludf.DUMMYFUNCTION("""COMPUTED_VALUE"""),"Ramon Ferrando")</f>
        <v>Ramon Ferrando</v>
      </c>
      <c r="R881" s="7"/>
    </row>
    <row r="882" spans="5:18">
      <c r="E882" s="7" t="str">
        <f ca="1">IFERROR(__xludf.DUMMYFUNCTION("""COMPUTED_VALUE"""),"Paula Martínez-Ruiz De Apocada")</f>
        <v>Paula Martínez-Ruiz De Apocada</v>
      </c>
      <c r="F882" s="7" t="str">
        <f ca="1">IFERROR(__xludf.DUMMYFUNCTION("""COMPUTED_VALUE"""),"RFV33")</f>
        <v>RFV33</v>
      </c>
      <c r="G882" s="7" t="str">
        <f ca="1">IFERROR(__xludf.DUMMYFUNCTION("""COMPUTED_VALUE"""),"Ramon Ferrando")</f>
        <v>Ramon Ferrando</v>
      </c>
      <c r="R882" s="7"/>
    </row>
    <row r="883" spans="5:18">
      <c r="E883" s="7" t="str">
        <f ca="1">IFERROR(__xludf.DUMMYFUNCTION("""COMPUTED_VALUE"""),"Paula Morales Chacchi")</f>
        <v>Paula Morales Chacchi</v>
      </c>
      <c r="F883" s="7" t="str">
        <f ca="1">IFERROR(__xludf.DUMMYFUNCTION("""COMPUTED_VALUE"""),"MBM219")</f>
        <v>MBM219</v>
      </c>
      <c r="G883" s="7" t="str">
        <f ca="1">IFERROR(__xludf.DUMMYFUNCTION("""COMPUTED_VALUE"""),"Maika Blázquez")</f>
        <v>Maika Blázquez</v>
      </c>
      <c r="R883" s="7"/>
    </row>
    <row r="884" spans="5:18">
      <c r="E884" s="7" t="str">
        <f ca="1">IFERROR(__xludf.DUMMYFUNCTION("""COMPUTED_VALUE"""),"Paula Sánchez Fernández")</f>
        <v>Paula Sánchez Fernández</v>
      </c>
      <c r="F884" s="7" t="str">
        <f ca="1">IFERROR(__xludf.DUMMYFUNCTION("""COMPUTED_VALUE"""),"PSC50")</f>
        <v>PSC50</v>
      </c>
      <c r="G884" s="7" t="str">
        <f ca="1">IFERROR(__xludf.DUMMYFUNCTION("""COMPUTED_VALUE"""),"Patricia Solache")</f>
        <v>Patricia Solache</v>
      </c>
      <c r="R884" s="7"/>
    </row>
    <row r="885" spans="5:18">
      <c r="E885" s="7" t="str">
        <f ca="1">IFERROR(__xludf.DUMMYFUNCTION("""COMPUTED_VALUE"""),"Paz Martínez Beneyto")</f>
        <v>Paz Martínez Beneyto</v>
      </c>
      <c r="F885" s="7" t="str">
        <f ca="1">IFERROR(__xludf.DUMMYFUNCTION("""COMPUTED_VALUE"""),"RFV34")</f>
        <v>RFV34</v>
      </c>
      <c r="G885" s="7" t="str">
        <f ca="1">IFERROR(__xludf.DUMMYFUNCTION("""COMPUTED_VALUE"""),"Ramon Ferrando")</f>
        <v>Ramon Ferrando</v>
      </c>
      <c r="R885" s="7"/>
    </row>
    <row r="886" spans="5:18">
      <c r="E886" s="7" t="str">
        <f ca="1">IFERROR(__xludf.DUMMYFUNCTION("""COMPUTED_VALUE"""),"Pedro Amaro Merino")</f>
        <v>Pedro Amaro Merino</v>
      </c>
      <c r="F886" s="7" t="str">
        <f ca="1">IFERROR(__xludf.DUMMYFUNCTION("""COMPUTED_VALUE"""),"LRM109")</f>
        <v>LRM109</v>
      </c>
      <c r="G886" s="7" t="str">
        <f ca="1">IFERROR(__xludf.DUMMYFUNCTION("""COMPUTED_VALUE"""),"Lisandro Russian")</f>
        <v>Lisandro Russian</v>
      </c>
      <c r="R886" s="7"/>
    </row>
    <row r="887" spans="5:18">
      <c r="E887" s="7" t="str">
        <f ca="1">IFERROR(__xludf.DUMMYFUNCTION("""COMPUTED_VALUE"""),"Pedro Barthe García")</f>
        <v>Pedro Barthe García</v>
      </c>
      <c r="F887" s="7" t="str">
        <f ca="1">IFERROR(__xludf.DUMMYFUNCTION("""COMPUTED_VALUE"""),"AMM20")</f>
        <v>AMM20</v>
      </c>
      <c r="G887" s="7" t="str">
        <f ca="1">IFERROR(__xludf.DUMMYFUNCTION("""COMPUTED_VALUE"""),"Alberto Moreno")</f>
        <v>Alberto Moreno</v>
      </c>
      <c r="R887" s="7"/>
    </row>
    <row r="888" spans="5:18">
      <c r="E888" s="7" t="str">
        <f ca="1">IFERROR(__xludf.DUMMYFUNCTION("""COMPUTED_VALUE"""),"Pedro Blanco Pérez")</f>
        <v>Pedro Blanco Pérez</v>
      </c>
      <c r="F888" s="7" t="str">
        <f ca="1">IFERROR(__xludf.DUMMYFUNCTION("""COMPUTED_VALUE"""),"PSC27")</f>
        <v>PSC27</v>
      </c>
      <c r="G888" s="7" t="str">
        <f ca="1">IFERROR(__xludf.DUMMYFUNCTION("""COMPUTED_VALUE"""),"Patricia Solache")</f>
        <v>Patricia Solache</v>
      </c>
      <c r="R888" s="7"/>
    </row>
    <row r="889" spans="5:18">
      <c r="E889" s="7" t="str">
        <f ca="1">IFERROR(__xludf.DUMMYFUNCTION("""COMPUTED_VALUE"""),"Pedro Cabrera Morín")</f>
        <v>Pedro Cabrera Morín</v>
      </c>
      <c r="F889" s="7" t="str">
        <f ca="1">IFERROR(__xludf.DUMMYFUNCTION("""COMPUTED_VALUE"""),"LRM110")</f>
        <v>LRM110</v>
      </c>
      <c r="G889" s="7" t="str">
        <f ca="1">IFERROR(__xludf.DUMMYFUNCTION("""COMPUTED_VALUE"""),"Lisandro Russian")</f>
        <v>Lisandro Russian</v>
      </c>
      <c r="R889" s="7"/>
    </row>
    <row r="890" spans="5:18">
      <c r="E890" s="7" t="str">
        <f ca="1">IFERROR(__xludf.DUMMYFUNCTION("""COMPUTED_VALUE"""),"Pedro Francisco Martínez Guisado")</f>
        <v>Pedro Francisco Martínez Guisado</v>
      </c>
      <c r="F890" s="7" t="str">
        <f ca="1">IFERROR(__xludf.DUMMYFUNCTION("""COMPUTED_VALUE"""),"LAA68")</f>
        <v>LAA68</v>
      </c>
      <c r="G890" s="7" t="str">
        <f ca="1">IFERROR(__xludf.DUMMYFUNCTION("""COMPUTED_VALUE"""),"Luis Alberto Rodríguez")</f>
        <v>Luis Alberto Rodríguez</v>
      </c>
      <c r="R890" s="7"/>
    </row>
    <row r="891" spans="5:18">
      <c r="E891" s="7" t="str">
        <f ca="1">IFERROR(__xludf.DUMMYFUNCTION("""COMPUTED_VALUE"""),"Pedro Gil Paraíso")</f>
        <v>Pedro Gil Paraíso</v>
      </c>
      <c r="F891" s="7" t="str">
        <f ca="1">IFERROR(__xludf.DUMMYFUNCTION("""COMPUTED_VALUE"""),"MCC30")</f>
        <v>MCC30</v>
      </c>
      <c r="G891" s="7" t="str">
        <f ca="1">IFERROR(__xludf.DUMMYFUNCTION("""COMPUTED_VALUE"""),"Mercè Cabrera")</f>
        <v>Mercè Cabrera</v>
      </c>
      <c r="R891" s="7"/>
    </row>
    <row r="892" spans="5:18">
      <c r="E892" s="7" t="str">
        <f ca="1">IFERROR(__xludf.DUMMYFUNCTION("""COMPUTED_VALUE"""),"Pedro Hueso Gutierrez")</f>
        <v>Pedro Hueso Gutierrez</v>
      </c>
      <c r="F892" s="7" t="str">
        <f ca="1">IFERROR(__xludf.DUMMYFUNCTION("""COMPUTED_VALUE"""),"PSC28")</f>
        <v>PSC28</v>
      </c>
      <c r="G892" s="7" t="str">
        <f ca="1">IFERROR(__xludf.DUMMYFUNCTION("""COMPUTED_VALUE"""),"Patricia Solache")</f>
        <v>Patricia Solache</v>
      </c>
      <c r="R892" s="7"/>
    </row>
    <row r="893" spans="5:18">
      <c r="E893" s="7" t="str">
        <f ca="1">IFERROR(__xludf.DUMMYFUNCTION("""COMPUTED_VALUE"""),"Pedro José Gil Paraiso")</f>
        <v>Pedro José Gil Paraiso</v>
      </c>
      <c r="F893" s="7" t="str">
        <f ca="1">IFERROR(__xludf.DUMMYFUNCTION("""COMPUTED_VALUE"""),"LRM111")</f>
        <v>LRM111</v>
      </c>
      <c r="G893" s="7" t="str">
        <f ca="1">IFERROR(__xludf.DUMMYFUNCTION("""COMPUTED_VALUE"""),"Lisandro Russian")</f>
        <v>Lisandro Russian</v>
      </c>
      <c r="R893" s="7"/>
    </row>
    <row r="894" spans="5:18">
      <c r="E894" s="7" t="str">
        <f ca="1">IFERROR(__xludf.DUMMYFUNCTION("""COMPUTED_VALUE"""),"Pedro Juiz López")</f>
        <v>Pedro Juiz López</v>
      </c>
      <c r="F894" s="7" t="str">
        <f ca="1">IFERROR(__xludf.DUMMYFUNCTION("""COMPUTED_VALUE"""),"RPG30")</f>
        <v>RPG30</v>
      </c>
      <c r="G894" s="7" t="str">
        <f ca="1">IFERROR(__xludf.DUMMYFUNCTION("""COMPUTED_VALUE"""),"Roberto Pereira")</f>
        <v>Roberto Pereira</v>
      </c>
      <c r="R894" s="7"/>
    </row>
    <row r="895" spans="5:18">
      <c r="E895" s="7" t="str">
        <f ca="1">IFERROR(__xludf.DUMMYFUNCTION("""COMPUTED_VALUE"""),"Pedro Masegosa Zapata")</f>
        <v>Pedro Masegosa Zapata</v>
      </c>
      <c r="F895" s="7" t="str">
        <f ca="1">IFERROR(__xludf.DUMMYFUNCTION("""COMPUTED_VALUE"""),"ISL75")</f>
        <v>ISL75</v>
      </c>
      <c r="G895" s="7" t="str">
        <f ca="1">IFERROR(__xludf.DUMMYFUNCTION("""COMPUTED_VALUE"""),"Iván Sánchez")</f>
        <v>Iván Sánchez</v>
      </c>
      <c r="R895" s="7"/>
    </row>
    <row r="896" spans="5:18">
      <c r="E896" s="7" t="str">
        <f ca="1">IFERROR(__xludf.DUMMYFUNCTION("""COMPUTED_VALUE"""),"Pedro Seguí Moya")</f>
        <v>Pedro Seguí Moya</v>
      </c>
      <c r="F896" s="7" t="str">
        <f ca="1">IFERROR(__xludf.DUMMYFUNCTION("""COMPUTED_VALUE"""),"ISL76")</f>
        <v>ISL76</v>
      </c>
      <c r="G896" s="7" t="str">
        <f ca="1">IFERROR(__xludf.DUMMYFUNCTION("""COMPUTED_VALUE"""),"Iván Sánchez")</f>
        <v>Iván Sánchez</v>
      </c>
      <c r="R896" s="7"/>
    </row>
    <row r="897" spans="5:18">
      <c r="E897" s="7" t="str">
        <f ca="1">IFERROR(__xludf.DUMMYFUNCTION("""COMPUTED_VALUE"""),"Pilar Beladiez Romero")</f>
        <v>Pilar Beladiez Romero</v>
      </c>
      <c r="F897" s="7" t="str">
        <f ca="1">IFERROR(__xludf.DUMMYFUNCTION("""COMPUTED_VALUE"""),"ISL131")</f>
        <v>ISL131</v>
      </c>
      <c r="G897" s="7" t="str">
        <f ca="1">IFERROR(__xludf.DUMMYFUNCTION("""COMPUTED_VALUE"""),"Iván Sánchez")</f>
        <v>Iván Sánchez</v>
      </c>
      <c r="R897" s="7"/>
    </row>
    <row r="898" spans="5:18">
      <c r="E898" s="7" t="str">
        <f ca="1">IFERROR(__xludf.DUMMYFUNCTION("""COMPUTED_VALUE"""),"Pilar Castro Ruiz")</f>
        <v>Pilar Castro Ruiz</v>
      </c>
      <c r="F898" s="7" t="str">
        <f ca="1">IFERROR(__xludf.DUMMYFUNCTION("""COMPUTED_VALUE"""),"RPG54")</f>
        <v>RPG54</v>
      </c>
      <c r="G898" s="7" t="str">
        <f ca="1">IFERROR(__xludf.DUMMYFUNCTION("""COMPUTED_VALUE"""),"Roberto Pereira")</f>
        <v>Roberto Pereira</v>
      </c>
      <c r="R898" s="7"/>
    </row>
    <row r="899" spans="5:18">
      <c r="E899" s="7" t="str">
        <f ca="1">IFERROR(__xludf.DUMMYFUNCTION("""COMPUTED_VALUE"""),"Pilar Hernandez Weigand")</f>
        <v>Pilar Hernandez Weigand</v>
      </c>
      <c r="F899" s="7" t="str">
        <f ca="1">IFERROR(__xludf.DUMMYFUNCTION("""COMPUTED_VALUE"""),"LRM112")</f>
        <v>LRM112</v>
      </c>
      <c r="G899" s="7" t="str">
        <f ca="1">IFERROR(__xludf.DUMMYFUNCTION("""COMPUTED_VALUE"""),"Lisandro Russian")</f>
        <v>Lisandro Russian</v>
      </c>
      <c r="R899" s="7"/>
    </row>
    <row r="900" spans="5:18">
      <c r="E900" s="7" t="str">
        <f ca="1">IFERROR(__xludf.DUMMYFUNCTION("""COMPUTED_VALUE"""),"Pilar Pomar Blanco")</f>
        <v>Pilar Pomar Blanco</v>
      </c>
      <c r="F900" s="7" t="str">
        <f ca="1">IFERROR(__xludf.DUMMYFUNCTION("""COMPUTED_VALUE"""),"RPG55")</f>
        <v>RPG55</v>
      </c>
      <c r="G900" s="7" t="str">
        <f ca="1">IFERROR(__xludf.DUMMYFUNCTION("""COMPUTED_VALUE"""),"Roberto Pereira")</f>
        <v>Roberto Pereira</v>
      </c>
      <c r="R900" s="7"/>
    </row>
    <row r="901" spans="5:18">
      <c r="E901" s="7" t="str">
        <f ca="1">IFERROR(__xludf.DUMMYFUNCTION("""COMPUTED_VALUE"""),"Pilar Serna Peinado")</f>
        <v>Pilar Serna Peinado</v>
      </c>
      <c r="F901" s="7" t="str">
        <f ca="1">IFERROR(__xludf.DUMMYFUNCTION("""COMPUTED_VALUE"""),"LRM228")</f>
        <v>LRM228</v>
      </c>
      <c r="G901" s="7" t="str">
        <f ca="1">IFERROR(__xludf.DUMMYFUNCTION("""COMPUTED_VALUE"""),"Lisandro Russian")</f>
        <v>Lisandro Russian</v>
      </c>
      <c r="R901" s="7"/>
    </row>
    <row r="902" spans="5:18">
      <c r="E902" s="7" t="str">
        <f ca="1">IFERROR(__xludf.DUMMYFUNCTION("""COMPUTED_VALUE"""),"Raed Maqued El Maqued")</f>
        <v>Raed Maqued El Maqued</v>
      </c>
      <c r="F902" s="7" t="str">
        <f ca="1">IFERROR(__xludf.DUMMYFUNCTION("""COMPUTED_VALUE"""),"LRM113")</f>
        <v>LRM113</v>
      </c>
      <c r="G902" s="7" t="str">
        <f ca="1">IFERROR(__xludf.DUMMYFUNCTION("""COMPUTED_VALUE"""),"Lisandro Russian")</f>
        <v>Lisandro Russian</v>
      </c>
      <c r="R902" s="7"/>
    </row>
    <row r="903" spans="5:18">
      <c r="E903" s="7" t="str">
        <f ca="1">IFERROR(__xludf.DUMMYFUNCTION("""COMPUTED_VALUE"""),"Rafael Alfonso Hurtado Ruzza")</f>
        <v>Rafael Alfonso Hurtado Ruzza</v>
      </c>
      <c r="F903" s="7" t="str">
        <f ca="1">IFERROR(__xludf.DUMMYFUNCTION("""COMPUTED_VALUE"""),"RPG31")</f>
        <v>RPG31</v>
      </c>
      <c r="G903" s="7" t="str">
        <f ca="1">IFERROR(__xludf.DUMMYFUNCTION("""COMPUTED_VALUE"""),"Roberto Pereira")</f>
        <v>Roberto Pereira</v>
      </c>
      <c r="R903" s="7"/>
    </row>
    <row r="904" spans="5:18">
      <c r="E904" s="7" t="str">
        <f ca="1">IFERROR(__xludf.DUMMYFUNCTION("""COMPUTED_VALUE"""),"Rafael Aliaga Montilla")</f>
        <v>Rafael Aliaga Montilla</v>
      </c>
      <c r="F904" s="7" t="str">
        <f ca="1">IFERROR(__xludf.DUMMYFUNCTION("""COMPUTED_VALUE"""),"MBM72")</f>
        <v>MBM72</v>
      </c>
      <c r="G904" s="7" t="str">
        <f ca="1">IFERROR(__xludf.DUMMYFUNCTION("""COMPUTED_VALUE"""),"Maika Blázquez")</f>
        <v>Maika Blázquez</v>
      </c>
      <c r="R904" s="7"/>
    </row>
    <row r="905" spans="5:18">
      <c r="E905" s="7" t="str">
        <f ca="1">IFERROR(__xludf.DUMMYFUNCTION("""COMPUTED_VALUE"""),"Rafael Álvarez Otero")</f>
        <v>Rafael Álvarez Otero</v>
      </c>
      <c r="F905" s="7" t="str">
        <f ca="1">IFERROR(__xludf.DUMMYFUNCTION("""COMPUTED_VALUE"""),"PSC29")</f>
        <v>PSC29</v>
      </c>
      <c r="G905" s="7" t="str">
        <f ca="1">IFERROR(__xludf.DUMMYFUNCTION("""COMPUTED_VALUE"""),"Patricia Solache")</f>
        <v>Patricia Solache</v>
      </c>
      <c r="R905" s="7"/>
    </row>
    <row r="906" spans="5:18">
      <c r="E906" s="7" t="str">
        <f ca="1">IFERROR(__xludf.DUMMYFUNCTION("""COMPUTED_VALUE"""),"Rafael Barberá Durban")</f>
        <v>Rafael Barberá Durban</v>
      </c>
      <c r="F906" s="7" t="str">
        <f ca="1">IFERROR(__xludf.DUMMYFUNCTION("""COMPUTED_VALUE"""),"MBM73")</f>
        <v>MBM73</v>
      </c>
      <c r="G906" s="7" t="str">
        <f ca="1">IFERROR(__xludf.DUMMYFUNCTION("""COMPUTED_VALUE"""),"Maika Blázquez")</f>
        <v>Maika Blázquez</v>
      </c>
      <c r="R906" s="7"/>
    </row>
    <row r="907" spans="5:18">
      <c r="E907" s="7" t="str">
        <f ca="1">IFERROR(__xludf.DUMMYFUNCTION("""COMPUTED_VALUE"""),"Rafael Barona Guzmán")</f>
        <v>Rafael Barona Guzmán</v>
      </c>
      <c r="F907" s="7" t="str">
        <f ca="1">IFERROR(__xludf.DUMMYFUNCTION("""COMPUTED_VALUE"""),"ISL77")</f>
        <v>ISL77</v>
      </c>
      <c r="G907" s="7" t="str">
        <f ca="1">IFERROR(__xludf.DUMMYFUNCTION("""COMPUTED_VALUE"""),"Iván Sánchez")</f>
        <v>Iván Sánchez</v>
      </c>
      <c r="R907" s="7"/>
    </row>
    <row r="908" spans="5:18">
      <c r="E908" s="7" t="str">
        <f ca="1">IFERROR(__xludf.DUMMYFUNCTION("""COMPUTED_VALUE"""),"Rafael Fernández Liesa")</f>
        <v>Rafael Fernández Liesa</v>
      </c>
      <c r="F908" s="7" t="str">
        <f ca="1">IFERROR(__xludf.DUMMYFUNCTION("""COMPUTED_VALUE"""),"LRM114")</f>
        <v>LRM114</v>
      </c>
      <c r="G908" s="7" t="str">
        <f ca="1">IFERROR(__xludf.DUMMYFUNCTION("""COMPUTED_VALUE"""),"Lisandro Russian")</f>
        <v>Lisandro Russian</v>
      </c>
      <c r="R908" s="7"/>
    </row>
    <row r="909" spans="5:18">
      <c r="E909" s="7" t="str">
        <f ca="1">IFERROR(__xludf.DUMMYFUNCTION("""COMPUTED_VALUE"""),"Rafael Martínez Garceran")</f>
        <v>Rafael Martínez Garceran</v>
      </c>
      <c r="F909" s="7" t="str">
        <f ca="1">IFERROR(__xludf.DUMMYFUNCTION("""COMPUTED_VALUE"""),"ISL78")</f>
        <v>ISL78</v>
      </c>
      <c r="G909" s="7" t="str">
        <f ca="1">IFERROR(__xludf.DUMMYFUNCTION("""COMPUTED_VALUE"""),"Iván Sánchez")</f>
        <v>Iván Sánchez</v>
      </c>
      <c r="R909" s="7"/>
    </row>
    <row r="910" spans="5:18">
      <c r="E910" s="7" t="str">
        <f ca="1">IFERROR(__xludf.DUMMYFUNCTION("""COMPUTED_VALUE"""),"Rafael Pérez Aguilera")</f>
        <v>Rafael Pérez Aguilera</v>
      </c>
      <c r="F910" s="7" t="str">
        <f ca="1">IFERROR(__xludf.DUMMYFUNCTION("""COMPUTED_VALUE"""),"ISL79")</f>
        <v>ISL79</v>
      </c>
      <c r="G910" s="7" t="str">
        <f ca="1">IFERROR(__xludf.DUMMYFUNCTION("""COMPUTED_VALUE"""),"Iván Sánchez")</f>
        <v>Iván Sánchez</v>
      </c>
      <c r="R910" s="7"/>
    </row>
    <row r="911" spans="5:18">
      <c r="E911" s="7" t="str">
        <f ca="1">IFERROR(__xludf.DUMMYFUNCTION("""COMPUTED_VALUE"""),"Rafael Pérez González")</f>
        <v>Rafael Pérez González</v>
      </c>
      <c r="F911" s="7" t="str">
        <f ca="1">IFERROR(__xludf.DUMMYFUNCTION("""COMPUTED_VALUE"""),"PSC30")</f>
        <v>PSC30</v>
      </c>
      <c r="G911" s="7" t="str">
        <f ca="1">IFERROR(__xludf.DUMMYFUNCTION("""COMPUTED_VALUE"""),"Patricia Solache")</f>
        <v>Patricia Solache</v>
      </c>
      <c r="R911" s="7"/>
    </row>
    <row r="912" spans="5:18">
      <c r="E912" s="7" t="str">
        <f ca="1">IFERROR(__xludf.DUMMYFUNCTION("""COMPUTED_VALUE"""),"Rafael Ramírez Ponferrada")</f>
        <v>Rafael Ramírez Ponferrada</v>
      </c>
      <c r="F912" s="7" t="str">
        <f ca="1">IFERROR(__xludf.DUMMYFUNCTION("""COMPUTED_VALUE"""),"LAA39")</f>
        <v>LAA39</v>
      </c>
      <c r="G912" s="7" t="str">
        <f ca="1">IFERROR(__xludf.DUMMYFUNCTION("""COMPUTED_VALUE"""),"Luis Alberto Rodríguez")</f>
        <v>Luis Alberto Rodríguez</v>
      </c>
      <c r="R912" s="7"/>
    </row>
    <row r="913" spans="5:18">
      <c r="E913" s="7" t="str">
        <f ca="1">IFERROR(__xludf.DUMMYFUNCTION("""COMPUTED_VALUE"""),"Rafael Ruiz Fito")</f>
        <v>Rafael Ruiz Fito</v>
      </c>
      <c r="F913" s="7" t="str">
        <f ca="1">IFERROR(__xludf.DUMMYFUNCTION("""COMPUTED_VALUE"""),"LAA40")</f>
        <v>LAA40</v>
      </c>
      <c r="G913" s="7" t="str">
        <f ca="1">IFERROR(__xludf.DUMMYFUNCTION("""COMPUTED_VALUE"""),"Luis Alberto Rodríguez")</f>
        <v>Luis Alberto Rodríguez</v>
      </c>
      <c r="R913" s="7"/>
    </row>
    <row r="914" spans="5:18">
      <c r="E914" s="7" t="str">
        <f ca="1">IFERROR(__xludf.DUMMYFUNCTION("""COMPUTED_VALUE"""),"Rafael Sanz Trenado")</f>
        <v>Rafael Sanz Trenado</v>
      </c>
      <c r="F914" s="7" t="str">
        <f ca="1">IFERROR(__xludf.DUMMYFUNCTION("""COMPUTED_VALUE"""),"LRM115")</f>
        <v>LRM115</v>
      </c>
      <c r="G914" s="7" t="str">
        <f ca="1">IFERROR(__xludf.DUMMYFUNCTION("""COMPUTED_VALUE"""),"Lisandro Russian")</f>
        <v>Lisandro Russian</v>
      </c>
      <c r="R914" s="7"/>
    </row>
    <row r="915" spans="5:18">
      <c r="E915" s="7" t="str">
        <f ca="1">IFERROR(__xludf.DUMMYFUNCTION("""COMPUTED_VALUE"""),"Rafael Vera Llao")</f>
        <v>Rafael Vera Llao</v>
      </c>
      <c r="F915" s="7" t="str">
        <f ca="1">IFERROR(__xludf.DUMMYFUNCTION("""COMPUTED_VALUE"""),"MCC31")</f>
        <v>MCC31</v>
      </c>
      <c r="G915" s="7" t="str">
        <f ca="1">IFERROR(__xludf.DUMMYFUNCTION("""COMPUTED_VALUE"""),"Mercè Cabrera")</f>
        <v>Mercè Cabrera</v>
      </c>
      <c r="R915" s="7"/>
    </row>
    <row r="916" spans="5:18">
      <c r="E916" s="7" t="str">
        <f ca="1">IFERROR(__xludf.DUMMYFUNCTION("""COMPUTED_VALUE"""),"Raimon García Chillerón")</f>
        <v>Raimon García Chillerón</v>
      </c>
      <c r="F916" s="7" t="str">
        <f ca="1">IFERROR(__xludf.DUMMYFUNCTION("""COMPUTED_VALUE"""),"RFV24")</f>
        <v>RFV24</v>
      </c>
      <c r="G916" s="7" t="str">
        <f ca="1">IFERROR(__xludf.DUMMYFUNCTION("""COMPUTED_VALUE"""),"Ramon Ferrando")</f>
        <v>Ramon Ferrando</v>
      </c>
      <c r="R916" s="7"/>
    </row>
    <row r="917" spans="5:18">
      <c r="E917" s="7" t="str">
        <f ca="1">IFERROR(__xludf.DUMMYFUNCTION("""COMPUTED_VALUE"""),"Raimundo Andres Navarro Mediano")</f>
        <v>Raimundo Andres Navarro Mediano</v>
      </c>
      <c r="F917" s="7" t="str">
        <f ca="1">IFERROR(__xludf.DUMMYFUNCTION("""COMPUTED_VALUE"""),"MBM74")</f>
        <v>MBM74</v>
      </c>
      <c r="G917" s="7" t="str">
        <f ca="1">IFERROR(__xludf.DUMMYFUNCTION("""COMPUTED_VALUE"""),"Maika Blázquez")</f>
        <v>Maika Blázquez</v>
      </c>
      <c r="R917" s="7"/>
    </row>
    <row r="918" spans="5:18">
      <c r="E918" s="7" t="str">
        <f ca="1">IFERROR(__xludf.DUMMYFUNCTION("""COMPUTED_VALUE"""),"Raimundo Gómez-Blasi")</f>
        <v>Raimundo Gómez-Blasi</v>
      </c>
      <c r="F918" s="7" t="str">
        <f ca="1">IFERROR(__xludf.DUMMYFUNCTION("""COMPUTED_VALUE"""),"MBM75")</f>
        <v>MBM75</v>
      </c>
      <c r="G918" s="7" t="str">
        <f ca="1">IFERROR(__xludf.DUMMYFUNCTION("""COMPUTED_VALUE"""),"Maika Blázquez")</f>
        <v>Maika Blázquez</v>
      </c>
      <c r="R918" s="7"/>
    </row>
    <row r="919" spans="5:18">
      <c r="E919" s="7" t="str">
        <f ca="1">IFERROR(__xludf.DUMMYFUNCTION("""COMPUTED_VALUE"""),"Ramón González Herranz")</f>
        <v>Ramón González Herranz</v>
      </c>
      <c r="F919" s="7" t="str">
        <f ca="1">IFERROR(__xludf.DUMMYFUNCTION("""COMPUTED_VALUE"""),"MBM76")</f>
        <v>MBM76</v>
      </c>
      <c r="G919" s="7" t="str">
        <f ca="1">IFERROR(__xludf.DUMMYFUNCTION("""COMPUTED_VALUE"""),"Maika Blázquez")</f>
        <v>Maika Blázquez</v>
      </c>
      <c r="R919" s="7"/>
    </row>
    <row r="920" spans="5:18">
      <c r="E920" s="7" t="str">
        <f ca="1">IFERROR(__xludf.DUMMYFUNCTION("""COMPUTED_VALUE"""),"Ramón Luis Escuaín Escanilla")</f>
        <v>Ramón Luis Escuaín Escanilla</v>
      </c>
      <c r="F920" s="7" t="str">
        <f ca="1">IFERROR(__xludf.DUMMYFUNCTION("""COMPUTED_VALUE"""),"LRM116")</f>
        <v>LRM116</v>
      </c>
      <c r="G920" s="7" t="str">
        <f ca="1">IFERROR(__xludf.DUMMYFUNCTION("""COMPUTED_VALUE"""),"Lisandro Russian")</f>
        <v>Lisandro Russian</v>
      </c>
      <c r="R920" s="7"/>
    </row>
    <row r="921" spans="5:18">
      <c r="E921" s="7" t="str">
        <f ca="1">IFERROR(__xludf.DUMMYFUNCTION("""COMPUTED_VALUE"""),"Ramón Martínez Carranza")</f>
        <v>Ramón Martínez Carranza</v>
      </c>
      <c r="F921" s="7" t="str">
        <f ca="1">IFERROR(__xludf.DUMMYFUNCTION("""COMPUTED_VALUE"""),"LRM117")</f>
        <v>LRM117</v>
      </c>
      <c r="G921" s="7" t="str">
        <f ca="1">IFERROR(__xludf.DUMMYFUNCTION("""COMPUTED_VALUE"""),"Lisandro Russian")</f>
        <v>Lisandro Russian</v>
      </c>
      <c r="R921" s="7"/>
    </row>
    <row r="922" spans="5:18">
      <c r="E922" s="7" t="str">
        <f ca="1">IFERROR(__xludf.DUMMYFUNCTION("""COMPUTED_VALUE"""),"Ramón Martínez-Berganza Asensio")</f>
        <v>Ramón Martínez-Berganza Asensio</v>
      </c>
      <c r="F922" s="7" t="str">
        <f ca="1">IFERROR(__xludf.DUMMYFUNCTION("""COMPUTED_VALUE"""),"LRM118")</f>
        <v>LRM118</v>
      </c>
      <c r="G922" s="7" t="str">
        <f ca="1">IFERROR(__xludf.DUMMYFUNCTION("""COMPUTED_VALUE"""),"Lisandro Russian")</f>
        <v>Lisandro Russian</v>
      </c>
      <c r="R922" s="7"/>
    </row>
    <row r="923" spans="5:18">
      <c r="E923" s="7" t="str">
        <f ca="1">IFERROR(__xludf.DUMMYFUNCTION("""COMPUTED_VALUE"""),"Raquel Artal Sánchez")</f>
        <v>Raquel Artal Sánchez</v>
      </c>
      <c r="F923" s="7" t="str">
        <f ca="1">IFERROR(__xludf.DUMMYFUNCTION("""COMPUTED_VALUE"""),"LRM229")</f>
        <v>LRM229</v>
      </c>
      <c r="G923" s="7" t="str">
        <f ca="1">IFERROR(__xludf.DUMMYFUNCTION("""COMPUTED_VALUE"""),"Lisandro Russian")</f>
        <v>Lisandro Russian</v>
      </c>
      <c r="R923" s="7"/>
    </row>
    <row r="924" spans="5:18">
      <c r="E924" s="7" t="str">
        <f ca="1">IFERROR(__xludf.DUMMYFUNCTION("""COMPUTED_VALUE"""),"Raquel de Lama Bermejo")</f>
        <v>Raquel de Lama Bermejo</v>
      </c>
      <c r="F924" s="7" t="str">
        <f ca="1">IFERROR(__xludf.DUMMYFUNCTION("""COMPUTED_VALUE"""),"MBM229")</f>
        <v>MBM229</v>
      </c>
      <c r="G924" s="7" t="str">
        <f ca="1">IFERROR(__xludf.DUMMYFUNCTION("""COMPUTED_VALUE"""),"Maika Blázquez")</f>
        <v>Maika Blázquez</v>
      </c>
      <c r="R924" s="7"/>
    </row>
    <row r="925" spans="5:18">
      <c r="E925" s="7" t="str">
        <f ca="1">IFERROR(__xludf.DUMMYFUNCTION("""COMPUTED_VALUE"""),"Raquel Solís Vázquez")</f>
        <v>Raquel Solís Vázquez</v>
      </c>
      <c r="F925" s="7" t="str">
        <f ca="1">IFERROR(__xludf.DUMMYFUNCTION("""COMPUTED_VALUE"""),"LAA57")</f>
        <v>LAA57</v>
      </c>
      <c r="G925" s="7" t="str">
        <f ca="1">IFERROR(__xludf.DUMMYFUNCTION("""COMPUTED_VALUE"""),"Luis Alberto Rodríguez")</f>
        <v>Luis Alberto Rodríguez</v>
      </c>
      <c r="R925" s="7"/>
    </row>
    <row r="926" spans="5:18">
      <c r="E926" s="7" t="str">
        <f ca="1">IFERROR(__xludf.DUMMYFUNCTION("""COMPUTED_VALUE"""),"Raúl Del Castillo López")</f>
        <v>Raúl Del Castillo López</v>
      </c>
      <c r="F926" s="7" t="str">
        <f ca="1">IFERROR(__xludf.DUMMYFUNCTION("""COMPUTED_VALUE"""),"MBM77")</f>
        <v>MBM77</v>
      </c>
      <c r="G926" s="7" t="str">
        <f ca="1">IFERROR(__xludf.DUMMYFUNCTION("""COMPUTED_VALUE"""),"Maika Blázquez")</f>
        <v>Maika Blázquez</v>
      </c>
      <c r="R926" s="7"/>
    </row>
    <row r="927" spans="5:18">
      <c r="E927" s="7" t="str">
        <f ca="1">IFERROR(__xludf.DUMMYFUNCTION("""COMPUTED_VALUE"""),"Raúl Rubio Yangüas")</f>
        <v>Raúl Rubio Yangüas</v>
      </c>
      <c r="F927" s="7" t="str">
        <f ca="1">IFERROR(__xludf.DUMMYFUNCTION("""COMPUTED_VALUE"""),"MBM78")</f>
        <v>MBM78</v>
      </c>
      <c r="G927" s="7" t="str">
        <f ca="1">IFERROR(__xludf.DUMMYFUNCTION("""COMPUTED_VALUE"""),"Maika Blázquez")</f>
        <v>Maika Blázquez</v>
      </c>
      <c r="R927" s="7"/>
    </row>
    <row r="928" spans="5:18">
      <c r="E928" s="7" t="str">
        <f ca="1">IFERROR(__xludf.DUMMYFUNCTION("""COMPUTED_VALUE"""),"Rebeca Barrios Gonzalo")</f>
        <v>Rebeca Barrios Gonzalo</v>
      </c>
      <c r="F928" s="7" t="str">
        <f ca="1">IFERROR(__xludf.DUMMYFUNCTION("""COMPUTED_VALUE"""),"LRM230")</f>
        <v>LRM230</v>
      </c>
      <c r="G928" s="7" t="str">
        <f ca="1">IFERROR(__xludf.DUMMYFUNCTION("""COMPUTED_VALUE"""),"Lisandro Russian")</f>
        <v>Lisandro Russian</v>
      </c>
      <c r="R928" s="7"/>
    </row>
    <row r="929" spans="5:18">
      <c r="E929" s="7" t="str">
        <f ca="1">IFERROR(__xludf.DUMMYFUNCTION("""COMPUTED_VALUE"""),"Renata Jiménez Martínez")</f>
        <v>Renata Jiménez Martínez</v>
      </c>
      <c r="F929" s="7" t="str">
        <f ca="1">IFERROR(__xludf.DUMMYFUNCTION("""COMPUTED_VALUE"""),"MCC56")</f>
        <v>MCC56</v>
      </c>
      <c r="G929" s="7" t="str">
        <f ca="1">IFERROR(__xludf.DUMMYFUNCTION("""COMPUTED_VALUE"""),"Mercè Cabrera")</f>
        <v>Mercè Cabrera</v>
      </c>
      <c r="R929" s="7"/>
    </row>
    <row r="930" spans="5:18">
      <c r="E930" s="7" t="str">
        <f ca="1">IFERROR(__xludf.DUMMYFUNCTION("""COMPUTED_VALUE"""),"Ricardo González-Orus")</f>
        <v>Ricardo González-Orus</v>
      </c>
      <c r="F930" s="7" t="str">
        <f ca="1">IFERROR(__xludf.DUMMYFUNCTION("""COMPUTED_VALUE"""),"MBM79")</f>
        <v>MBM79</v>
      </c>
      <c r="G930" s="7" t="str">
        <f ca="1">IFERROR(__xludf.DUMMYFUNCTION("""COMPUTED_VALUE"""),"Maika Blázquez")</f>
        <v>Maika Blázquez</v>
      </c>
      <c r="R930" s="7"/>
    </row>
    <row r="931" spans="5:18">
      <c r="E931" s="7" t="str">
        <f ca="1">IFERROR(__xludf.DUMMYFUNCTION("""COMPUTED_VALUE"""),"Richard Chávez León")</f>
        <v>Richard Chávez León</v>
      </c>
      <c r="F931" s="7" t="str">
        <f ca="1">IFERROR(__xludf.DUMMYFUNCTION("""COMPUTED_VALUE"""),"LAA87")</f>
        <v>LAA87</v>
      </c>
      <c r="G931" s="7" t="str">
        <f ca="1">IFERROR(__xludf.DUMMYFUNCTION("""COMPUTED_VALUE"""),"Luis Alberto Rodríguez")</f>
        <v>Luis Alberto Rodríguez</v>
      </c>
      <c r="R931" s="7"/>
    </row>
    <row r="932" spans="5:18">
      <c r="E932" s="7" t="str">
        <f ca="1">IFERROR(__xludf.DUMMYFUNCTION("""COMPUTED_VALUE"""),"Roberto Sanz Garzón")</f>
        <v>Roberto Sanz Garzón</v>
      </c>
      <c r="F932" s="7" t="str">
        <f ca="1">IFERROR(__xludf.DUMMYFUNCTION("""COMPUTED_VALUE"""),"MBM224")</f>
        <v>MBM224</v>
      </c>
      <c r="G932" s="7" t="str">
        <f ca="1">IFERROR(__xludf.DUMMYFUNCTION("""COMPUTED_VALUE"""),"Maika Blázquez")</f>
        <v>Maika Blázquez</v>
      </c>
      <c r="R932" s="7"/>
    </row>
    <row r="933" spans="5:18">
      <c r="E933" s="7" t="str">
        <f ca="1">IFERROR(__xludf.DUMMYFUNCTION("""COMPUTED_VALUE"""),"Rocío Arce Martínez")</f>
        <v>Rocío Arce Martínez</v>
      </c>
      <c r="F933" s="7" t="str">
        <f ca="1">IFERROR(__xludf.DUMMYFUNCTION("""COMPUTED_VALUE"""),"ISL132")</f>
        <v>ISL132</v>
      </c>
      <c r="G933" s="7" t="str">
        <f ca="1">IFERROR(__xludf.DUMMYFUNCTION("""COMPUTED_VALUE"""),"Iván Sánchez")</f>
        <v>Iván Sánchez</v>
      </c>
      <c r="R933" s="7"/>
    </row>
    <row r="934" spans="5:18">
      <c r="E934" s="7" t="str">
        <f ca="1">IFERROR(__xludf.DUMMYFUNCTION("""COMPUTED_VALUE"""),"Rocío Corrales Martín")</f>
        <v>Rocío Corrales Martín</v>
      </c>
      <c r="F934" s="7" t="str">
        <f ca="1">IFERROR(__xludf.DUMMYFUNCTION("""COMPUTED_VALUE"""),"LAA58")</f>
        <v>LAA58</v>
      </c>
      <c r="G934" s="7" t="str">
        <f ca="1">IFERROR(__xludf.DUMMYFUNCTION("""COMPUTED_VALUE"""),"Luis Alberto Rodríguez")</f>
        <v>Luis Alberto Rodríguez</v>
      </c>
      <c r="R934" s="7"/>
    </row>
    <row r="935" spans="5:18">
      <c r="E935" s="7" t="str">
        <f ca="1">IFERROR(__xludf.DUMMYFUNCTION("""COMPUTED_VALUE"""),"Rocío Corrales Millán")</f>
        <v>Rocío Corrales Millán</v>
      </c>
      <c r="F935" s="7" t="str">
        <f ca="1">IFERROR(__xludf.DUMMYFUNCTION("""COMPUTED_VALUE"""),"LAA75")</f>
        <v>LAA75</v>
      </c>
      <c r="G935" s="7" t="str">
        <f ca="1">IFERROR(__xludf.DUMMYFUNCTION("""COMPUTED_VALUE"""),"Luis Alberto Rodríguez")</f>
        <v>Luis Alberto Rodríguez</v>
      </c>
      <c r="R935" s="7"/>
    </row>
    <row r="936" spans="5:18">
      <c r="E936" s="7" t="str">
        <f ca="1">IFERROR(__xludf.DUMMYFUNCTION("""COMPUTED_VALUE"""),"Rocío García Fernández")</f>
        <v>Rocío García Fernández</v>
      </c>
      <c r="F936" s="7" t="str">
        <f ca="1">IFERROR(__xludf.DUMMYFUNCTION("""COMPUTED_VALUE"""),"LRM231")</f>
        <v>LRM231</v>
      </c>
      <c r="G936" s="7" t="str">
        <f ca="1">IFERROR(__xludf.DUMMYFUNCTION("""COMPUTED_VALUE"""),"Lisandro Russian")</f>
        <v>Lisandro Russian</v>
      </c>
      <c r="R936" s="7"/>
    </row>
    <row r="937" spans="5:18">
      <c r="E937" s="7" t="str">
        <f ca="1">IFERROR(__xludf.DUMMYFUNCTION("""COMPUTED_VALUE"""),"Rocío González Márquez")</f>
        <v>Rocío González Márquez</v>
      </c>
      <c r="F937" s="7" t="str">
        <f ca="1">IFERROR(__xludf.DUMMYFUNCTION("""COMPUTED_VALUE"""),"MBM172")</f>
        <v>MBM172</v>
      </c>
      <c r="G937" s="7" t="str">
        <f ca="1">IFERROR(__xludf.DUMMYFUNCTION("""COMPUTED_VALUE"""),"Maika Blázquez")</f>
        <v>Maika Blázquez</v>
      </c>
      <c r="R937" s="7"/>
    </row>
    <row r="938" spans="5:18">
      <c r="E938" s="7" t="str">
        <f ca="1">IFERROR(__xludf.DUMMYFUNCTION("""COMPUTED_VALUE"""),"Roi Rodríguez Frois")</f>
        <v>Roi Rodríguez Frois</v>
      </c>
      <c r="F938" s="7" t="str">
        <f ca="1">IFERROR(__xludf.DUMMYFUNCTION("""COMPUTED_VALUE"""),"LRM119")</f>
        <v>LRM119</v>
      </c>
      <c r="G938" s="7" t="str">
        <f ca="1">IFERROR(__xludf.DUMMYFUNCTION("""COMPUTED_VALUE"""),"Lisandro Russian")</f>
        <v>Lisandro Russian</v>
      </c>
      <c r="R938" s="7"/>
    </row>
    <row r="939" spans="5:18">
      <c r="E939" s="7" t="str">
        <f ca="1">IFERROR(__xludf.DUMMYFUNCTION("""COMPUTED_VALUE"""),"Rolando Hernández Rodríguez")</f>
        <v>Rolando Hernández Rodríguez</v>
      </c>
      <c r="F939" s="7" t="str">
        <f ca="1">IFERROR(__xludf.DUMMYFUNCTION("""COMPUTED_VALUE"""),"LAA41")</f>
        <v>LAA41</v>
      </c>
      <c r="G939" s="7" t="str">
        <f ca="1">IFERROR(__xludf.DUMMYFUNCTION("""COMPUTED_VALUE"""),"Luis Alberto Rodríguez")</f>
        <v>Luis Alberto Rodríguez</v>
      </c>
      <c r="R939" s="7"/>
    </row>
    <row r="940" spans="5:18">
      <c r="E940" s="7" t="str">
        <f ca="1">IFERROR(__xludf.DUMMYFUNCTION("""COMPUTED_VALUE"""),"Rosa María Echari San Martín")</f>
        <v>Rosa María Echari San Martín</v>
      </c>
      <c r="F940" s="7" t="str">
        <f ca="1">IFERROR(__xludf.DUMMYFUNCTION("""COMPUTED_VALUE"""),"MBM220")</f>
        <v>MBM220</v>
      </c>
      <c r="G940" s="7" t="str">
        <f ca="1">IFERROR(__xludf.DUMMYFUNCTION("""COMPUTED_VALUE"""),"Maika Blázquez")</f>
        <v>Maika Blázquez</v>
      </c>
      <c r="R940" s="7"/>
    </row>
    <row r="941" spans="5:18">
      <c r="E941" s="7" t="str">
        <f ca="1">IFERROR(__xludf.DUMMYFUNCTION("""COMPUTED_VALUE"""),"Rosana Cobiella Carnicer")</f>
        <v>Rosana Cobiella Carnicer</v>
      </c>
      <c r="F941" s="7" t="str">
        <f ca="1">IFERROR(__xludf.DUMMYFUNCTION("""COMPUTED_VALUE"""),"MBM173")</f>
        <v>MBM173</v>
      </c>
      <c r="G941" s="7" t="str">
        <f ca="1">IFERROR(__xludf.DUMMYFUNCTION("""COMPUTED_VALUE"""),"Maika Blázquez")</f>
        <v>Maika Blázquez</v>
      </c>
      <c r="R941" s="7"/>
    </row>
    <row r="942" spans="5:18">
      <c r="E942" s="7" t="str">
        <f ca="1">IFERROR(__xludf.DUMMYFUNCTION("""COMPUTED_VALUE"""),"Rosario Garcia Monescillo")</f>
        <v>Rosario Garcia Monescillo</v>
      </c>
      <c r="F942" s="7" t="str">
        <f ca="1">IFERROR(__xludf.DUMMYFUNCTION("""COMPUTED_VALUE"""),"LRM232")</f>
        <v>LRM232</v>
      </c>
      <c r="G942" s="7" t="str">
        <f ca="1">IFERROR(__xludf.DUMMYFUNCTION("""COMPUTED_VALUE"""),"Lisandro Russian")</f>
        <v>Lisandro Russian</v>
      </c>
      <c r="R942" s="7"/>
    </row>
    <row r="943" spans="5:18">
      <c r="E943" s="7" t="str">
        <f ca="1">IFERROR(__xludf.DUMMYFUNCTION("""COMPUTED_VALUE"""),"Rubén Moreno Arrones")</f>
        <v>Rubén Moreno Arrones</v>
      </c>
      <c r="F943" s="7" t="str">
        <f ca="1">IFERROR(__xludf.DUMMYFUNCTION("""COMPUTED_VALUE"""),"ISL139")</f>
        <v>ISL139</v>
      </c>
      <c r="G943" s="7" t="str">
        <f ca="1">IFERROR(__xludf.DUMMYFUNCTION("""COMPUTED_VALUE"""),"Iván Sánchez")</f>
        <v>Iván Sánchez</v>
      </c>
      <c r="R943" s="7"/>
    </row>
    <row r="944" spans="5:18">
      <c r="E944" s="7" t="str">
        <f ca="1">IFERROR(__xludf.DUMMYFUNCTION("""COMPUTED_VALUE"""),"Rubén Polo López")</f>
        <v>Rubén Polo López</v>
      </c>
      <c r="F944" s="7" t="str">
        <f ca="1">IFERROR(__xludf.DUMMYFUNCTION("""COMPUTED_VALUE"""),"MBM80")</f>
        <v>MBM80</v>
      </c>
      <c r="G944" s="7" t="str">
        <f ca="1">IFERROR(__xludf.DUMMYFUNCTION("""COMPUTED_VALUE"""),"Maika Blázquez")</f>
        <v>Maika Blázquez</v>
      </c>
      <c r="R944" s="7"/>
    </row>
    <row r="945" spans="5:18">
      <c r="E945" s="7" t="str">
        <f ca="1">IFERROR(__xludf.DUMMYFUNCTION("""COMPUTED_VALUE"""),"Salwa Laraqui Hossini")</f>
        <v>Salwa Laraqui Hossini</v>
      </c>
      <c r="F945" s="7" t="str">
        <f ca="1">IFERROR(__xludf.DUMMYFUNCTION("""COMPUTED_VALUE"""),"RFV42")</f>
        <v>RFV42</v>
      </c>
      <c r="G945" s="7" t="str">
        <f ca="1">IFERROR(__xludf.DUMMYFUNCTION("""COMPUTED_VALUE"""),"Ramon Ferrando")</f>
        <v>Ramon Ferrando</v>
      </c>
      <c r="R945" s="7"/>
    </row>
    <row r="946" spans="5:18">
      <c r="E946" s="7" t="str">
        <f ca="1">IFERROR(__xludf.DUMMYFUNCTION("""COMPUTED_VALUE"""),"Sandra Dominguez Carames")</f>
        <v>Sandra Dominguez Carames</v>
      </c>
      <c r="F946" s="7" t="str">
        <f ca="1">IFERROR(__xludf.DUMMYFUNCTION("""COMPUTED_VALUE"""),"MBM174")</f>
        <v>MBM174</v>
      </c>
      <c r="G946" s="7" t="str">
        <f ca="1">IFERROR(__xludf.DUMMYFUNCTION("""COMPUTED_VALUE"""),"Maika Blázquez")</f>
        <v>Maika Blázquez</v>
      </c>
      <c r="R946" s="7"/>
    </row>
    <row r="947" spans="5:18">
      <c r="E947" s="7" t="str">
        <f ca="1">IFERROR(__xludf.DUMMYFUNCTION("""COMPUTED_VALUE"""),"Santiago Moreno Paredes")</f>
        <v>Santiago Moreno Paredes</v>
      </c>
      <c r="F947" s="7" t="str">
        <f ca="1">IFERROR(__xludf.DUMMYFUNCTION("""COMPUTED_VALUE"""),"ISL80")</f>
        <v>ISL80</v>
      </c>
      <c r="G947" s="7" t="str">
        <f ca="1">IFERROR(__xludf.DUMMYFUNCTION("""COMPUTED_VALUE"""),"Iván Sánchez")</f>
        <v>Iván Sánchez</v>
      </c>
      <c r="R947" s="7"/>
    </row>
    <row r="948" spans="5:18">
      <c r="E948" s="7" t="str">
        <f ca="1">IFERROR(__xludf.DUMMYFUNCTION("""COMPUTED_VALUE"""),"Sara Fernandez Cascón")</f>
        <v>Sara Fernandez Cascón</v>
      </c>
      <c r="F948" s="7" t="str">
        <f ca="1">IFERROR(__xludf.DUMMYFUNCTION("""COMPUTED_VALUE"""),"PSC51")</f>
        <v>PSC51</v>
      </c>
      <c r="G948" s="7" t="str">
        <f ca="1">IFERROR(__xludf.DUMMYFUNCTION("""COMPUTED_VALUE"""),"Patricia Solache")</f>
        <v>Patricia Solache</v>
      </c>
      <c r="R948" s="7"/>
    </row>
    <row r="949" spans="5:18">
      <c r="E949" s="7" t="str">
        <f ca="1">IFERROR(__xludf.DUMMYFUNCTION("""COMPUTED_VALUE"""),"Sara Jubés Monforte")</f>
        <v>Sara Jubés Monforte</v>
      </c>
      <c r="F949" s="7" t="str">
        <f ca="1">IFERROR(__xludf.DUMMYFUNCTION("""COMPUTED_VALUE"""),"MCC73")</f>
        <v>MCC73</v>
      </c>
      <c r="G949" s="7" t="str">
        <f ca="1">IFERROR(__xludf.DUMMYFUNCTION("""COMPUTED_VALUE"""),"Mercè Cabrera")</f>
        <v>Mercè Cabrera</v>
      </c>
      <c r="R949" s="7"/>
    </row>
    <row r="950" spans="5:18">
      <c r="E950" s="7" t="str">
        <f ca="1">IFERROR(__xludf.DUMMYFUNCTION("""COMPUTED_VALUE"""),"Sara Reda del Barrio")</f>
        <v>Sara Reda del Barrio</v>
      </c>
      <c r="F950" s="7" t="str">
        <f ca="1">IFERROR(__xludf.DUMMYFUNCTION("""COMPUTED_VALUE"""),"MBM175")</f>
        <v>MBM175</v>
      </c>
      <c r="G950" s="7" t="str">
        <f ca="1">IFERROR(__xludf.DUMMYFUNCTION("""COMPUTED_VALUE"""),"Maika Blázquez")</f>
        <v>Maika Blázquez</v>
      </c>
      <c r="R950" s="7"/>
    </row>
    <row r="951" spans="5:18">
      <c r="E951" s="7" t="str">
        <f ca="1">IFERROR(__xludf.DUMMYFUNCTION("""COMPUTED_VALUE"""),"Sara Rodriguez Sanz")</f>
        <v>Sara Rodriguez Sanz</v>
      </c>
      <c r="F951" s="7" t="str">
        <f ca="1">IFERROR(__xludf.DUMMYFUNCTION("""COMPUTED_VALUE"""),"LRM233")</f>
        <v>LRM233</v>
      </c>
      <c r="G951" s="7" t="str">
        <f ca="1">IFERROR(__xludf.DUMMYFUNCTION("""COMPUTED_VALUE"""),"Lisandro Russian")</f>
        <v>Lisandro Russian</v>
      </c>
      <c r="R951" s="7"/>
    </row>
    <row r="952" spans="5:18">
      <c r="E952" s="7" t="str">
        <f ca="1">IFERROR(__xludf.DUMMYFUNCTION("""COMPUTED_VALUE"""),"Sara Tanboura López")</f>
        <v>Sara Tanboura López</v>
      </c>
      <c r="F952" s="7" t="str">
        <f ca="1">IFERROR(__xludf.DUMMYFUNCTION("""COMPUTED_VALUE"""),"MBM176")</f>
        <v>MBM176</v>
      </c>
      <c r="G952" s="7" t="str">
        <f ca="1">IFERROR(__xludf.DUMMYFUNCTION("""COMPUTED_VALUE"""),"Maika Blázquez")</f>
        <v>Maika Blázquez</v>
      </c>
      <c r="R952" s="7"/>
    </row>
    <row r="953" spans="5:18">
      <c r="E953" s="7" t="str">
        <f ca="1">IFERROR(__xludf.DUMMYFUNCTION("""COMPUTED_VALUE"""),"Sebastián Contin Pellicer")</f>
        <v>Sebastián Contin Pellicer</v>
      </c>
      <c r="F953" s="7" t="str">
        <f ca="1">IFERROR(__xludf.DUMMYFUNCTION("""COMPUTED_VALUE"""),"LRM120")</f>
        <v>LRM120</v>
      </c>
      <c r="G953" s="7" t="str">
        <f ca="1">IFERROR(__xludf.DUMMYFUNCTION("""COMPUTED_VALUE"""),"Lisandro Russian")</f>
        <v>Lisandro Russian</v>
      </c>
      <c r="R953" s="7"/>
    </row>
    <row r="954" spans="5:18">
      <c r="E954" s="7" t="str">
        <f ca="1">IFERROR(__xludf.DUMMYFUNCTION("""COMPUTED_VALUE"""),"Sergio Codina Alonso")</f>
        <v>Sergio Codina Alonso</v>
      </c>
      <c r="F954" s="7" t="str">
        <f ca="1">IFERROR(__xludf.DUMMYFUNCTION("""COMPUTED_VALUE"""),"RPG32")</f>
        <v>RPG32</v>
      </c>
      <c r="G954" s="7" t="str">
        <f ca="1">IFERROR(__xludf.DUMMYFUNCTION("""COMPUTED_VALUE"""),"Roberto Pereira")</f>
        <v>Roberto Pereira</v>
      </c>
      <c r="R954" s="7"/>
    </row>
    <row r="955" spans="5:18">
      <c r="E955" s="7" t="str">
        <f ca="1">IFERROR(__xludf.DUMMYFUNCTION("""COMPUTED_VALUE"""),"Sergio Zaragoza Guijo")</f>
        <v>Sergio Zaragoza Guijo</v>
      </c>
      <c r="F955" s="7" t="str">
        <f ca="1">IFERROR(__xludf.DUMMYFUNCTION("""COMPUTED_VALUE"""),"MBM81")</f>
        <v>MBM81</v>
      </c>
      <c r="G955" s="7" t="str">
        <f ca="1">IFERROR(__xludf.DUMMYFUNCTION("""COMPUTED_VALUE"""),"Maika Blázquez")</f>
        <v>Maika Blázquez</v>
      </c>
      <c r="R955" s="7"/>
    </row>
    <row r="956" spans="5:18">
      <c r="E956" s="7" t="str">
        <f ca="1">IFERROR(__xludf.DUMMYFUNCTION("""COMPUTED_VALUE"""),"Severino Fernández Fernández")</f>
        <v>Severino Fernández Fernández</v>
      </c>
      <c r="F956" s="7" t="str">
        <f ca="1">IFERROR(__xludf.DUMMYFUNCTION("""COMPUTED_VALUE"""),"AMM23")</f>
        <v>AMM23</v>
      </c>
      <c r="G956" s="7" t="str">
        <f ca="1">IFERROR(__xludf.DUMMYFUNCTION("""COMPUTED_VALUE"""),"Alberto Moreno")</f>
        <v>Alberto Moreno</v>
      </c>
      <c r="R956" s="7"/>
    </row>
    <row r="957" spans="5:18">
      <c r="E957" s="7" t="str">
        <f ca="1">IFERROR(__xludf.DUMMYFUNCTION("""COMPUTED_VALUE"""),"Silvia Domínguez Ovejas")</f>
        <v>Silvia Domínguez Ovejas</v>
      </c>
      <c r="F957" s="7" t="str">
        <f ca="1">IFERROR(__xludf.DUMMYFUNCTION("""COMPUTED_VALUE"""),"MBM177")</f>
        <v>MBM177</v>
      </c>
      <c r="G957" s="7" t="str">
        <f ca="1">IFERROR(__xludf.DUMMYFUNCTION("""COMPUTED_VALUE"""),"Maika Blázquez")</f>
        <v>Maika Blázquez</v>
      </c>
      <c r="R957" s="7"/>
    </row>
    <row r="958" spans="5:18">
      <c r="E958" s="18" t="str">
        <f ca="1">IFERROR(__xludf.DUMMYFUNCTION("""COMPUTED_VALUE"""),"Silvia Herrera Tolosana")</f>
        <v>Silvia Herrera Tolosana</v>
      </c>
      <c r="F958" s="18" t="str">
        <f ca="1">IFERROR(__xludf.DUMMYFUNCTION("""COMPUTED_VALUE"""),"MBM178")</f>
        <v>MBM178</v>
      </c>
      <c r="G958" s="18" t="str">
        <f ca="1">IFERROR(__xludf.DUMMYFUNCTION("""COMPUTED_VALUE"""),"Maika Blázquez")</f>
        <v>Maika Blázquez</v>
      </c>
      <c r="R958" s="7"/>
    </row>
    <row r="959" spans="5:18">
      <c r="E959" s="18" t="str">
        <f ca="1">IFERROR(__xludf.DUMMYFUNCTION("""COMPUTED_VALUE"""),"Socorro Tedín García")</f>
        <v>Socorro Tedín García</v>
      </c>
      <c r="F959" s="18" t="str">
        <f ca="1">IFERROR(__xludf.DUMMYFUNCTION("""COMPUTED_VALUE"""),"RPG56")</f>
        <v>RPG56</v>
      </c>
      <c r="G959" s="18" t="str">
        <f ca="1">IFERROR(__xludf.DUMMYFUNCTION("""COMPUTED_VALUE"""),"Roberto Pereira")</f>
        <v>Roberto Pereira</v>
      </c>
      <c r="R959" s="7"/>
    </row>
    <row r="960" spans="5:18">
      <c r="E960" s="18" t="str">
        <f ca="1">IFERROR(__xludf.DUMMYFUNCTION("""COMPUTED_VALUE"""),"Sofía Ferreiras Cendón")</f>
        <v>Sofía Ferreiras Cendón</v>
      </c>
      <c r="F960" s="18" t="str">
        <f ca="1">IFERROR(__xludf.DUMMYFUNCTION("""COMPUTED_VALUE"""),"MBM179")</f>
        <v>MBM179</v>
      </c>
      <c r="G960" s="18" t="str">
        <f ca="1">IFERROR(__xludf.DUMMYFUNCTION("""COMPUTED_VALUE"""),"Maika Blázquez")</f>
        <v>Maika Blázquez</v>
      </c>
      <c r="R960" s="7"/>
    </row>
    <row r="961" spans="5:18">
      <c r="E961" s="18" t="str">
        <f ca="1">IFERROR(__xludf.DUMMYFUNCTION("""COMPUTED_VALUE"""),"Sonia García Díaz")</f>
        <v>Sonia García Díaz</v>
      </c>
      <c r="F961" s="18" t="str">
        <f ca="1">IFERROR(__xludf.DUMMYFUNCTION("""COMPUTED_VALUE"""),"LAA80")</f>
        <v>LAA80</v>
      </c>
      <c r="G961" s="18" t="str">
        <f ca="1">IFERROR(__xludf.DUMMYFUNCTION("""COMPUTED_VALUE"""),"Luis Alberto Rodríguez")</f>
        <v>Luis Alberto Rodríguez</v>
      </c>
      <c r="R961" s="7"/>
    </row>
    <row r="962" spans="5:18">
      <c r="E962" s="18" t="str">
        <f ca="1">IFERROR(__xludf.DUMMYFUNCTION("""COMPUTED_VALUE"""),"Stephany Rodríguez Mata")</f>
        <v>Stephany Rodríguez Mata</v>
      </c>
      <c r="F962" s="18" t="str">
        <f ca="1">IFERROR(__xludf.DUMMYFUNCTION("""COMPUTED_VALUE"""),"MBM180")</f>
        <v>MBM180</v>
      </c>
      <c r="G962" s="18" t="str">
        <f ca="1">IFERROR(__xludf.DUMMYFUNCTION("""COMPUTED_VALUE"""),"Maika Blázquez")</f>
        <v>Maika Blázquez</v>
      </c>
      <c r="R962" s="7"/>
    </row>
    <row r="963" spans="5:18">
      <c r="E963" s="18" t="str">
        <f ca="1">IFERROR(__xludf.DUMMYFUNCTION("""COMPUTED_VALUE"""),"Susana Lareo Copa")</f>
        <v>Susana Lareo Copa</v>
      </c>
      <c r="F963" s="18" t="str">
        <f ca="1">IFERROR(__xludf.DUMMYFUNCTION("""COMPUTED_VALUE"""),"MCC57")</f>
        <v>MCC57</v>
      </c>
      <c r="G963" s="18" t="str">
        <f ca="1">IFERROR(__xludf.DUMMYFUNCTION("""COMPUTED_VALUE"""),"Mercè Cabrera")</f>
        <v>Mercè Cabrera</v>
      </c>
      <c r="R963" s="7"/>
    </row>
    <row r="964" spans="5:18">
      <c r="E964" s="18" t="str">
        <f ca="1">IFERROR(__xludf.DUMMYFUNCTION("""COMPUTED_VALUE"""),"Susana Márquez Martínez")</f>
        <v>Susana Márquez Martínez</v>
      </c>
      <c r="F964" s="18" t="str">
        <f ca="1">IFERROR(__xludf.DUMMYFUNCTION("""COMPUTED_VALUE"""),"LRM234")</f>
        <v>LRM234</v>
      </c>
      <c r="G964" s="18" t="str">
        <f ca="1">IFERROR(__xludf.DUMMYFUNCTION("""COMPUTED_VALUE"""),"Lisandro Russian")</f>
        <v>Lisandro Russian</v>
      </c>
      <c r="R964" s="7"/>
    </row>
    <row r="965" spans="5:18">
      <c r="E965" s="18" t="str">
        <f ca="1">IFERROR(__xludf.DUMMYFUNCTION("""COMPUTED_VALUE"""),"Teresa Conde Menor")</f>
        <v>Teresa Conde Menor</v>
      </c>
      <c r="F965" s="18" t="str">
        <f ca="1">IFERROR(__xludf.DUMMYFUNCTION("""COMPUTED_VALUE"""),"LRM235")</f>
        <v>LRM235</v>
      </c>
      <c r="G965" s="18" t="str">
        <f ca="1">IFERROR(__xludf.DUMMYFUNCTION("""COMPUTED_VALUE"""),"Lisandro Russian")</f>
        <v>Lisandro Russian</v>
      </c>
      <c r="R965" s="7"/>
    </row>
    <row r="966" spans="5:18">
      <c r="E966" s="18" t="str">
        <f ca="1">IFERROR(__xludf.DUMMYFUNCTION("""COMPUTED_VALUE"""),"Teresa Langeber Gavilán")</f>
        <v>Teresa Langeber Gavilán</v>
      </c>
      <c r="F966" s="18" t="str">
        <f ca="1">IFERROR(__xludf.DUMMYFUNCTION("""COMPUTED_VALUE"""),"PSC52")</f>
        <v>PSC52</v>
      </c>
      <c r="G966" s="18" t="str">
        <f ca="1">IFERROR(__xludf.DUMMYFUNCTION("""COMPUTED_VALUE"""),"Patricia Solache")</f>
        <v>Patricia Solache</v>
      </c>
      <c r="R966" s="7"/>
    </row>
    <row r="967" spans="5:18">
      <c r="E967" s="18" t="str">
        <f ca="1">IFERROR(__xludf.DUMMYFUNCTION("""COMPUTED_VALUE"""),"Teresa Laviana Muslera")</f>
        <v>Teresa Laviana Muslera</v>
      </c>
      <c r="F967" s="18" t="str">
        <f ca="1">IFERROR(__xludf.DUMMYFUNCTION("""COMPUTED_VALUE"""),"LRM236")</f>
        <v>LRM236</v>
      </c>
      <c r="G967" s="18" t="str">
        <f ca="1">IFERROR(__xludf.DUMMYFUNCTION("""COMPUTED_VALUE"""),"Lisandro Russian")</f>
        <v>Lisandro Russian</v>
      </c>
      <c r="R967" s="7"/>
    </row>
    <row r="968" spans="5:18">
      <c r="E968" s="18" t="str">
        <f ca="1">IFERROR(__xludf.DUMMYFUNCTION("""COMPUTED_VALUE"""),"Teresa Mato Patino")</f>
        <v>Teresa Mato Patino</v>
      </c>
      <c r="F968" s="18" t="str">
        <f ca="1">IFERROR(__xludf.DUMMYFUNCTION("""COMPUTED_VALUE"""),"MBM181")</f>
        <v>MBM181</v>
      </c>
      <c r="G968" s="18" t="str">
        <f ca="1">IFERROR(__xludf.DUMMYFUNCTION("""COMPUTED_VALUE"""),"Maika Blázquez")</f>
        <v>Maika Blázquez</v>
      </c>
      <c r="R968" s="7"/>
    </row>
    <row r="969" spans="5:18">
      <c r="E969" s="18" t="str">
        <f ca="1">IFERROR(__xludf.DUMMYFUNCTION("""COMPUTED_VALUE"""),"Teresa Millas Gómez")</f>
        <v>Teresa Millas Gómez</v>
      </c>
      <c r="F969" s="18" t="str">
        <f ca="1">IFERROR(__xludf.DUMMYFUNCTION("""COMPUTED_VALUE"""),"MBM182")</f>
        <v>MBM182</v>
      </c>
      <c r="G969" s="18" t="str">
        <f ca="1">IFERROR(__xludf.DUMMYFUNCTION("""COMPUTED_VALUE"""),"Maika Blázquez")</f>
        <v>Maika Blázquez</v>
      </c>
      <c r="R969" s="7"/>
    </row>
    <row r="970" spans="5:18">
      <c r="E970" s="18" t="str">
        <f ca="1">IFERROR(__xludf.DUMMYFUNCTION("""COMPUTED_VALUE"""),"Teresa Rivera Schmitz")</f>
        <v>Teresa Rivera Schmitz</v>
      </c>
      <c r="F970" s="18" t="str">
        <f ca="1">IFERROR(__xludf.DUMMYFUNCTION("""COMPUTED_VALUE"""),"LRM237")</f>
        <v>LRM237</v>
      </c>
      <c r="G970" s="18" t="str">
        <f ca="1">IFERROR(__xludf.DUMMYFUNCTION("""COMPUTED_VALUE"""),"Lisandro Russian")</f>
        <v>Lisandro Russian</v>
      </c>
      <c r="R970" s="7"/>
    </row>
    <row r="971" spans="5:18">
      <c r="E971" s="18" t="str">
        <f ca="1">IFERROR(__xludf.DUMMYFUNCTION("""COMPUTED_VALUE"""),"Tomás García Fernández de Sevilla")</f>
        <v>Tomás García Fernández de Sevilla</v>
      </c>
      <c r="F971" s="18" t="str">
        <f ca="1">IFERROR(__xludf.DUMMYFUNCTION("""COMPUTED_VALUE"""),"LRM121")</f>
        <v>LRM121</v>
      </c>
      <c r="G971" s="18" t="str">
        <f ca="1">IFERROR(__xludf.DUMMYFUNCTION("""COMPUTED_VALUE"""),"Lisandro Russian")</f>
        <v>Lisandro Russian</v>
      </c>
      <c r="R971" s="7"/>
    </row>
    <row r="972" spans="5:18">
      <c r="E972" s="18" t="str">
        <f ca="1">IFERROR(__xludf.DUMMYFUNCTION("""COMPUTED_VALUE"""),"Tomas Mogollon Cano Cortes")</f>
        <v>Tomas Mogollon Cano Cortes</v>
      </c>
      <c r="F972" s="18" t="str">
        <f ca="1">IFERROR(__xludf.DUMMYFUNCTION("""COMPUTED_VALUE"""),"LAA60")</f>
        <v>LAA60</v>
      </c>
      <c r="G972" s="18" t="str">
        <f ca="1">IFERROR(__xludf.DUMMYFUNCTION("""COMPUTED_VALUE"""),"Luis Alberto Rodríguez")</f>
        <v>Luis Alberto Rodríguez</v>
      </c>
      <c r="R972" s="7"/>
    </row>
    <row r="973" spans="5:18">
      <c r="E973" s="18" t="str">
        <f ca="1">IFERROR(__xludf.DUMMYFUNCTION("""COMPUTED_VALUE"""),"Tomás Mogollón Cano-Cortés")</f>
        <v>Tomás Mogollón Cano-Cortés</v>
      </c>
      <c r="F973" s="18" t="str">
        <f ca="1">IFERROR(__xludf.DUMMYFUNCTION("""COMPUTED_VALUE"""),"LAA42")</f>
        <v>LAA42</v>
      </c>
      <c r="G973" s="18" t="str">
        <f ca="1">IFERROR(__xludf.DUMMYFUNCTION("""COMPUTED_VALUE"""),"Luis Alberto Rodríguez")</f>
        <v>Luis Alberto Rodríguez</v>
      </c>
      <c r="R973" s="7"/>
    </row>
    <row r="974" spans="5:18">
      <c r="E974" s="18" t="str">
        <f ca="1">IFERROR(__xludf.DUMMYFUNCTION("""COMPUTED_VALUE"""),"Ulises Bidón Gómez")</f>
        <v>Ulises Bidón Gómez</v>
      </c>
      <c r="F974" s="18" t="str">
        <f ca="1">IFERROR(__xludf.DUMMYFUNCTION("""COMPUTED_VALUE"""),"LAA43")</f>
        <v>LAA43</v>
      </c>
      <c r="G974" s="18" t="str">
        <f ca="1">IFERROR(__xludf.DUMMYFUNCTION("""COMPUTED_VALUE"""),"Luis Alberto Rodríguez")</f>
        <v>Luis Alberto Rodríguez</v>
      </c>
      <c r="R974" s="7"/>
    </row>
    <row r="975" spans="5:18">
      <c r="E975" s="18" t="str">
        <f ca="1">IFERROR(__xludf.DUMMYFUNCTION("""COMPUTED_VALUE"""),"Vanesa Pérez Guillén")</f>
        <v>Vanesa Pérez Guillén</v>
      </c>
      <c r="F975" s="18" t="str">
        <f ca="1">IFERROR(__xludf.DUMMYFUNCTION("""COMPUTED_VALUE"""),"RFV35")</f>
        <v>RFV35</v>
      </c>
      <c r="G975" s="18" t="str">
        <f ca="1">IFERROR(__xludf.DUMMYFUNCTION("""COMPUTED_VALUE"""),"Ramon Ferrando")</f>
        <v>Ramon Ferrando</v>
      </c>
      <c r="R975" s="7"/>
    </row>
    <row r="976" spans="5:18">
      <c r="E976" s="18" t="str">
        <f ca="1">IFERROR(__xludf.DUMMYFUNCTION("""COMPUTED_VALUE"""),"Vanesa Suárez Fente")</f>
        <v>Vanesa Suárez Fente</v>
      </c>
      <c r="F976" s="18" t="str">
        <f ca="1">IFERROR(__xludf.DUMMYFUNCTION("""COMPUTED_VALUE"""),"AMM18")</f>
        <v>AMM18</v>
      </c>
      <c r="G976" s="18" t="str">
        <f ca="1">IFERROR(__xludf.DUMMYFUNCTION("""COMPUTED_VALUE"""),"Alberto Moreno")</f>
        <v>Alberto Moreno</v>
      </c>
      <c r="R976" s="7"/>
    </row>
    <row r="977" spans="5:18">
      <c r="E977" s="18" t="str">
        <f ca="1">IFERROR(__xludf.DUMMYFUNCTION("""COMPUTED_VALUE"""),"Vania Novoa Juiz")</f>
        <v>Vania Novoa Juiz</v>
      </c>
      <c r="F977" s="18" t="str">
        <f ca="1">IFERROR(__xludf.DUMMYFUNCTION("""COMPUTED_VALUE"""),"ISL134")</f>
        <v>ISL134</v>
      </c>
      <c r="G977" s="18" t="str">
        <f ca="1">IFERROR(__xludf.DUMMYFUNCTION("""COMPUTED_VALUE"""),"Iván Sánchez")</f>
        <v>Iván Sánchez</v>
      </c>
      <c r="R977" s="7"/>
    </row>
    <row r="978" spans="5:18">
      <c r="E978" s="18" t="str">
        <f ca="1">IFERROR(__xludf.DUMMYFUNCTION("""COMPUTED_VALUE"""),"Ventura Anciones Rodríguez")</f>
        <v>Ventura Anciones Rodríguez</v>
      </c>
      <c r="F978" s="18" t="str">
        <f ca="1">IFERROR(__xludf.DUMMYFUNCTION("""COMPUTED_VALUE"""),"MBM82")</f>
        <v>MBM82</v>
      </c>
      <c r="G978" s="18" t="str">
        <f ca="1">IFERROR(__xludf.DUMMYFUNCTION("""COMPUTED_VALUE"""),"Maika Blázquez")</f>
        <v>Maika Blázquez</v>
      </c>
      <c r="R978" s="7"/>
    </row>
    <row r="979" spans="5:18">
      <c r="E979" s="18" t="str">
        <f ca="1">IFERROR(__xludf.DUMMYFUNCTION("""COMPUTED_VALUE"""),"Verónica Pellicer Zoghbi")</f>
        <v>Verónica Pellicer Zoghbi</v>
      </c>
      <c r="F979" s="18" t="str">
        <f ca="1">IFERROR(__xludf.DUMMYFUNCTION("""COMPUTED_VALUE"""),"ISL135")</f>
        <v>ISL135</v>
      </c>
      <c r="G979" s="18" t="str">
        <f ca="1">IFERROR(__xludf.DUMMYFUNCTION("""COMPUTED_VALUE"""),"Iván Sánchez")</f>
        <v>Iván Sánchez</v>
      </c>
      <c r="R979" s="7"/>
    </row>
    <row r="980" spans="5:18">
      <c r="E980" s="18" t="str">
        <f ca="1">IFERROR(__xludf.DUMMYFUNCTION("""COMPUTED_VALUE"""),"Vicente Jiménez López")</f>
        <v>Vicente Jiménez López</v>
      </c>
      <c r="F980" s="18" t="str">
        <f ca="1">IFERROR(__xludf.DUMMYFUNCTION("""COMPUTED_VALUE"""),"MBM83")</f>
        <v>MBM83</v>
      </c>
      <c r="G980" s="18" t="str">
        <f ca="1">IFERROR(__xludf.DUMMYFUNCTION("""COMPUTED_VALUE"""),"Maika Blázquez")</f>
        <v>Maika Blázquez</v>
      </c>
      <c r="R980" s="7"/>
    </row>
    <row r="981" spans="5:18">
      <c r="E981" s="18" t="str">
        <f ca="1">IFERROR(__xludf.DUMMYFUNCTION("""COMPUTED_VALUE"""),"Vicente Martínez Santos")</f>
        <v>Vicente Martínez Santos</v>
      </c>
      <c r="F981" s="18" t="str">
        <f ca="1">IFERROR(__xludf.DUMMYFUNCTION("""COMPUTED_VALUE"""),"MBM84")</f>
        <v>MBM84</v>
      </c>
      <c r="G981" s="18" t="str">
        <f ca="1">IFERROR(__xludf.DUMMYFUNCTION("""COMPUTED_VALUE"""),"Maika Blázquez")</f>
        <v>Maika Blázquez</v>
      </c>
      <c r="R981" s="7"/>
    </row>
    <row r="982" spans="5:18">
      <c r="E982" s="18" t="str">
        <f ca="1">IFERROR(__xludf.DUMMYFUNCTION("""COMPUTED_VALUE"""),"Vicente Mira Escartí")</f>
        <v>Vicente Mira Escartí</v>
      </c>
      <c r="F982" s="18" t="str">
        <f ca="1">IFERROR(__xludf.DUMMYFUNCTION("""COMPUTED_VALUE"""),"LAA72")</f>
        <v>LAA72</v>
      </c>
      <c r="G982" s="18" t="str">
        <f ca="1">IFERROR(__xludf.DUMMYFUNCTION("""COMPUTED_VALUE"""),"Luis Alberto Rodríguez")</f>
        <v>Luis Alberto Rodríguez</v>
      </c>
      <c r="R982" s="7"/>
    </row>
    <row r="983" spans="5:18">
      <c r="E983" s="18" t="str">
        <f ca="1">IFERROR(__xludf.DUMMYFUNCTION("""COMPUTED_VALUE"""),"Vicky Galstyan Minasosa")</f>
        <v>Vicky Galstyan Minasosa</v>
      </c>
      <c r="F983" s="18" t="str">
        <f ca="1">IFERROR(__xludf.DUMMYFUNCTION("""COMPUTED_VALUE"""),"RFV36")</f>
        <v>RFV36</v>
      </c>
      <c r="G983" s="18" t="str">
        <f ca="1">IFERROR(__xludf.DUMMYFUNCTION("""COMPUTED_VALUE"""),"Ramon Ferrando")</f>
        <v>Ramon Ferrando</v>
      </c>
      <c r="R983" s="7"/>
    </row>
    <row r="984" spans="5:18">
      <c r="E984" s="18" t="str">
        <f ca="1">IFERROR(__xludf.DUMMYFUNCTION("""COMPUTED_VALUE"""),"Víctor José González Arias")</f>
        <v>Víctor José González Arias</v>
      </c>
      <c r="F984" s="18" t="str">
        <f ca="1">IFERROR(__xludf.DUMMYFUNCTION("""COMPUTED_VALUE"""),"MBM85")</f>
        <v>MBM85</v>
      </c>
      <c r="G984" s="18" t="str">
        <f ca="1">IFERROR(__xludf.DUMMYFUNCTION("""COMPUTED_VALUE"""),"Maika Blázquez")</f>
        <v>Maika Blázquez</v>
      </c>
      <c r="R984" s="7"/>
    </row>
    <row r="985" spans="5:18">
      <c r="E985" s="18" t="str">
        <f ca="1">IFERROR(__xludf.DUMMYFUNCTION("""COMPUTED_VALUE"""),"Victoria Duque Holguera")</f>
        <v>Victoria Duque Holguera</v>
      </c>
      <c r="F985" s="18" t="str">
        <f ca="1">IFERROR(__xludf.DUMMYFUNCTION("""COMPUTED_VALUE"""),"PSC53")</f>
        <v>PSC53</v>
      </c>
      <c r="G985" s="18" t="str">
        <f ca="1">IFERROR(__xludf.DUMMYFUNCTION("""COMPUTED_VALUE"""),"Patricia Solache")</f>
        <v>Patricia Solache</v>
      </c>
    </row>
    <row r="986" spans="5:18">
      <c r="E986" s="18" t="str">
        <f ca="1">IFERROR(__xludf.DUMMYFUNCTION("""COMPUTED_VALUE"""),"Victoria García León")</f>
        <v>Victoria García León</v>
      </c>
      <c r="F986" s="18" t="str">
        <f ca="1">IFERROR(__xludf.DUMMYFUNCTION("""COMPUTED_VALUE"""),"MBM183")</f>
        <v>MBM183</v>
      </c>
      <c r="G986" s="18" t="str">
        <f ca="1">IFERROR(__xludf.DUMMYFUNCTION("""COMPUTED_VALUE"""),"Maika Blázquez")</f>
        <v>Maika Blázquez</v>
      </c>
    </row>
    <row r="987" spans="5:18">
      <c r="E987" s="18" t="str">
        <f ca="1">IFERROR(__xludf.DUMMYFUNCTION("""COMPUTED_VALUE"""),"Victoria García Peces")</f>
        <v>Victoria García Peces</v>
      </c>
      <c r="F987" s="18" t="str">
        <f ca="1">IFERROR(__xludf.DUMMYFUNCTION("""COMPUTED_VALUE"""),"MBM184")</f>
        <v>MBM184</v>
      </c>
      <c r="G987" s="18" t="str">
        <f ca="1">IFERROR(__xludf.DUMMYFUNCTION("""COMPUTED_VALUE"""),"Maika Blázquez")</f>
        <v>Maika Blázquez</v>
      </c>
    </row>
    <row r="988" spans="5:18">
      <c r="E988" s="18" t="str">
        <f ca="1">IFERROR(__xludf.DUMMYFUNCTION("""COMPUTED_VALUE"""),"Victoria Rivero de Jesús")</f>
        <v>Victoria Rivero de Jesús</v>
      </c>
      <c r="F988" s="18" t="str">
        <f ca="1">IFERROR(__xludf.DUMMYFUNCTION("""COMPUTED_VALUE"""),"MCC58")</f>
        <v>MCC58</v>
      </c>
      <c r="G988" s="18" t="str">
        <f ca="1">IFERROR(__xludf.DUMMYFUNCTION("""COMPUTED_VALUE"""),"Mercè Cabrera")</f>
        <v>Mercè Cabrera</v>
      </c>
    </row>
    <row r="989" spans="5:18">
      <c r="E989" s="18" t="str">
        <f ca="1">IFERROR(__xludf.DUMMYFUNCTION("""COMPUTED_VALUE"""),"Vilma Sandoval Pacheco")</f>
        <v>Vilma Sandoval Pacheco</v>
      </c>
      <c r="F989" s="18" t="str">
        <f ca="1">IFERROR(__xludf.DUMMYFUNCTION("""COMPUTED_VALUE"""),"PSC54")</f>
        <v>PSC54</v>
      </c>
      <c r="G989" s="18" t="str">
        <f ca="1">IFERROR(__xludf.DUMMYFUNCTION("""COMPUTED_VALUE"""),"Patricia Solache")</f>
        <v>Patricia Solache</v>
      </c>
    </row>
    <row r="990" spans="5:18">
      <c r="E990" s="18" t="str">
        <f ca="1">IFERROR(__xludf.DUMMYFUNCTION("""COMPUTED_VALUE"""),"Virginia Díaz Guerrero")</f>
        <v>Virginia Díaz Guerrero</v>
      </c>
      <c r="F990" s="18" t="str">
        <f ca="1">IFERROR(__xludf.DUMMYFUNCTION("""COMPUTED_VALUE"""),"MBM185")</f>
        <v>MBM185</v>
      </c>
      <c r="G990" s="18" t="str">
        <f ca="1">IFERROR(__xludf.DUMMYFUNCTION("""COMPUTED_VALUE"""),"Maika Blázquez")</f>
        <v>Maika Blázquez</v>
      </c>
    </row>
    <row r="991" spans="5:18">
      <c r="E991" s="18" t="str">
        <f ca="1">IFERROR(__xludf.DUMMYFUNCTION("""COMPUTED_VALUE"""),"Virginia Martínez Villasmil")</f>
        <v>Virginia Martínez Villasmil</v>
      </c>
      <c r="F991" s="18" t="str">
        <f ca="1">IFERROR(__xludf.DUMMYFUNCTION("""COMPUTED_VALUE"""),"RPG57")</f>
        <v>RPG57</v>
      </c>
      <c r="G991" s="18" t="str">
        <f ca="1">IFERROR(__xludf.DUMMYFUNCTION("""COMPUTED_VALUE"""),"Roberto Pereira")</f>
        <v>Roberto Pereira</v>
      </c>
    </row>
    <row r="992" spans="5:18">
      <c r="E992" s="18" t="str">
        <f ca="1">IFERROR(__xludf.DUMMYFUNCTION("""COMPUTED_VALUE"""),"Vladimir Rubio Segarra")</f>
        <v>Vladimir Rubio Segarra</v>
      </c>
      <c r="F992" s="18" t="str">
        <f ca="1">IFERROR(__xludf.DUMMYFUNCTION("""COMPUTED_VALUE"""),"RFV49")</f>
        <v>RFV49</v>
      </c>
      <c r="G992" s="18" t="str">
        <f ca="1">IFERROR(__xludf.DUMMYFUNCTION("""COMPUTED_VALUE"""),"Ramon Ferrando")</f>
        <v>Ramon Ferrando</v>
      </c>
    </row>
    <row r="993" spans="5:7">
      <c r="E993" s="18" t="str">
        <f ca="1">IFERROR(__xludf.DUMMYFUNCTION("""COMPUTED_VALUE"""),"William Aragonés Sanzen-Baker")</f>
        <v>William Aragonés Sanzen-Baker</v>
      </c>
      <c r="F993" s="18" t="str">
        <f ca="1">IFERROR(__xludf.DUMMYFUNCTION("""COMPUTED_VALUE"""),"LRM122")</f>
        <v>LRM122</v>
      </c>
      <c r="G993" s="18" t="str">
        <f ca="1">IFERROR(__xludf.DUMMYFUNCTION("""COMPUTED_VALUE"""),"Lisandro Russian")</f>
        <v>Lisandro Russian</v>
      </c>
    </row>
    <row r="994" spans="5:7">
      <c r="E994" s="18" t="str">
        <f ca="1">IFERROR(__xludf.DUMMYFUNCTION("""COMPUTED_VALUE"""),"Xavier Gonzalez Compa")</f>
        <v>Xavier Gonzalez Compa</v>
      </c>
      <c r="F994" s="18" t="str">
        <f ca="1">IFERROR(__xludf.DUMMYFUNCTION("""COMPUTED_VALUE"""),"MCC63")</f>
        <v>MCC63</v>
      </c>
      <c r="G994" s="18" t="str">
        <f ca="1">IFERROR(__xludf.DUMMYFUNCTION("""COMPUTED_VALUE"""),"Mercè Cabrera")</f>
        <v>Mercè Cabrera</v>
      </c>
    </row>
    <row r="995" spans="5:7">
      <c r="E995" s="18" t="str">
        <f ca="1">IFERROR(__xludf.DUMMYFUNCTION("""COMPUTED_VALUE"""),"Xavier González Compta")</f>
        <v>Xavier González Compta</v>
      </c>
      <c r="F995" s="18" t="str">
        <f ca="1">IFERROR(__xludf.DUMMYFUNCTION("""COMPUTED_VALUE"""),"MCC32")</f>
        <v>MCC32</v>
      </c>
      <c r="G995" s="18" t="str">
        <f ca="1">IFERROR(__xludf.DUMMYFUNCTION("""COMPUTED_VALUE"""),"Mercè Cabrera")</f>
        <v>Mercè Cabrera</v>
      </c>
    </row>
    <row r="996" spans="5:7">
      <c r="E996" s="18" t="str">
        <f ca="1">IFERROR(__xludf.DUMMYFUNCTION("""COMPUTED_VALUE"""),"Xavier Urraca Contreras")</f>
        <v>Xavier Urraca Contreras</v>
      </c>
      <c r="F996" s="18" t="str">
        <f ca="1">IFERROR(__xludf.DUMMYFUNCTION("""COMPUTED_VALUE"""),"MCC33")</f>
        <v>MCC33</v>
      </c>
      <c r="G996" s="18" t="str">
        <f ca="1">IFERROR(__xludf.DUMMYFUNCTION("""COMPUTED_VALUE"""),"Mercè Cabrera")</f>
        <v>Mercè Cabrera</v>
      </c>
    </row>
    <row r="997" spans="5:7">
      <c r="E997" s="18" t="str">
        <f ca="1">IFERROR(__xludf.DUMMYFUNCTION("""COMPUTED_VALUE"""),"Xenia Mota Rojas")</f>
        <v>Xenia Mota Rojas</v>
      </c>
      <c r="F997" s="18" t="str">
        <f ca="1">IFERROR(__xludf.DUMMYFUNCTION("""COMPUTED_VALUE"""),"PSC55")</f>
        <v>PSC55</v>
      </c>
      <c r="G997" s="18" t="str">
        <f ca="1">IFERROR(__xludf.DUMMYFUNCTION("""COMPUTED_VALUE"""),"Patricia Solache")</f>
        <v>Patricia Solache</v>
      </c>
    </row>
    <row r="998" spans="5:7">
      <c r="E998" s="18" t="str">
        <f ca="1">IFERROR(__xludf.DUMMYFUNCTION("""COMPUTED_VALUE"""),"Zenaida Piñeiro Aguín")</f>
        <v>Zenaida Piñeiro Aguín</v>
      </c>
      <c r="F998" s="18" t="str">
        <f ca="1">IFERROR(__xludf.DUMMYFUNCTION("""COMPUTED_VALUE"""),"MCC59")</f>
        <v>MCC59</v>
      </c>
      <c r="G998" s="18" t="str">
        <f ca="1">IFERROR(__xludf.DUMMYFUNCTION("""COMPUTED_VALUE"""),"Mercè Cabrera")</f>
        <v>Mercè Cabrera</v>
      </c>
    </row>
    <row r="999" spans="5:7">
      <c r="E999" s="18" t="str">
        <f ca="1">IFERROR(__xludf.DUMMYFUNCTION("""COMPUTED_VALUE"""),"Zoila Peña Rodríguez")</f>
        <v>Zoila Peña Rodríguez</v>
      </c>
      <c r="F999" s="18" t="str">
        <f ca="1">IFERROR(__xludf.DUMMYFUNCTION("""COMPUTED_VALUE"""),"LAA59")</f>
        <v>LAA59</v>
      </c>
      <c r="G999" s="18" t="str">
        <f ca="1">IFERROR(__xludf.DUMMYFUNCTION("""COMPUTED_VALUE"""),"Luis Alberto Rodríguez")</f>
        <v>Luis Alberto Rodríguez</v>
      </c>
    </row>
  </sheetData>
  <autoFilter ref="F1:F1000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D55E-2BCC-F74F-AB31-671E38322091}">
  <dimension ref="A1:D58"/>
  <sheetViews>
    <sheetView tabSelected="1" workbookViewId="0"/>
  </sheetViews>
  <sheetFormatPr baseColWidth="10" defaultRowHeight="15"/>
  <cols>
    <col min="1" max="1" width="36.6640625" customWidth="1"/>
    <col min="2" max="2" width="46.6640625" customWidth="1"/>
    <col min="3" max="3" width="16.6640625" customWidth="1"/>
    <col min="4" max="4" width="20" customWidth="1"/>
  </cols>
  <sheetData>
    <row r="1" spans="1:4" ht="19">
      <c r="A1" s="90" t="s">
        <v>586</v>
      </c>
    </row>
    <row r="3" spans="1:4" ht="16">
      <c r="A3" s="91" t="s">
        <v>587</v>
      </c>
      <c r="B3" s="92"/>
      <c r="C3" s="92"/>
      <c r="D3" s="92"/>
    </row>
    <row r="4" spans="1:4">
      <c r="A4" s="95" t="s">
        <v>2</v>
      </c>
      <c r="B4" s="94" t="s">
        <v>588</v>
      </c>
      <c r="C4" s="94" t="s">
        <v>589</v>
      </c>
      <c r="D4" s="94" t="s">
        <v>590</v>
      </c>
    </row>
    <row r="5" spans="1:4">
      <c r="A5" s="96" t="s">
        <v>591</v>
      </c>
      <c r="B5" s="93">
        <v>7</v>
      </c>
      <c r="C5" s="93">
        <f ca="1">COUNTIF(TOTAL2026!C$2:C$1001,A5)</f>
        <v>13</v>
      </c>
      <c r="D5" s="97">
        <f ca="1">SUMIF(TOTAL2026!C$2:C$1001,A5,TOTAL2026!K$2:K$1001)</f>
        <v>-17780.96</v>
      </c>
    </row>
    <row r="6" spans="1:4">
      <c r="A6" s="96" t="s">
        <v>592</v>
      </c>
      <c r="B6" s="93">
        <v>6</v>
      </c>
      <c r="C6" s="93">
        <f ca="1">COUNTIF(TOTAL2026!C$2:C$1001,A6)</f>
        <v>8</v>
      </c>
      <c r="D6" s="97">
        <f ca="1">SUMIF(TOTAL2026!C$2:C$1001,A6,TOTAL2026!K$2:K$1001)</f>
        <v>-14051.060000000001</v>
      </c>
    </row>
    <row r="7" spans="1:4">
      <c r="A7" s="96" t="s">
        <v>593</v>
      </c>
      <c r="B7" s="93">
        <v>5</v>
      </c>
      <c r="C7" s="93">
        <f ca="1">COUNTIF(TOTAL2026!C$2:C$1001,A7)</f>
        <v>6</v>
      </c>
      <c r="D7" s="97">
        <f ca="1">SUMIF(TOTAL2026!C$2:C$1001,A7,TOTAL2026!K$2:K$1001)</f>
        <v>-22472.38</v>
      </c>
    </row>
    <row r="8" spans="1:4">
      <c r="A8" s="96" t="s">
        <v>594</v>
      </c>
      <c r="B8" s="93">
        <v>19</v>
      </c>
      <c r="C8" s="93">
        <f ca="1">COUNTIF(TOTAL2026!C$2:C$1001,A8)</f>
        <v>28</v>
      </c>
      <c r="D8" s="97">
        <f ca="1">SUMIF(TOTAL2026!C$2:C$1001,A8,TOTAL2026!K$2:K$1001)</f>
        <v>-20976.830000000005</v>
      </c>
    </row>
    <row r="9" spans="1:4">
      <c r="A9" s="96" t="s">
        <v>595</v>
      </c>
      <c r="B9" s="93">
        <v>5</v>
      </c>
      <c r="C9" s="93">
        <f ca="1">COUNTIF(TOTAL2026!C$2:C$1001,A9)</f>
        <v>9</v>
      </c>
      <c r="D9" s="97">
        <f ca="1">SUMIF(TOTAL2026!C$2:C$1001,A9,TOTAL2026!K$2:K$1001)</f>
        <v>-9049.15</v>
      </c>
    </row>
    <row r="10" spans="1:4">
      <c r="A10" s="95" t="s">
        <v>596</v>
      </c>
      <c r="B10" s="94">
        <f>SUM(B5:B9)</f>
        <v>42</v>
      </c>
      <c r="C10" s="94">
        <f ca="1">SUM(C5:C9)</f>
        <v>64</v>
      </c>
      <c r="D10" s="98">
        <f ca="1">SUM(D5:D9)</f>
        <v>-84330.38</v>
      </c>
    </row>
    <row r="12" spans="1:4" ht="16">
      <c r="A12" s="91" t="s">
        <v>597</v>
      </c>
      <c r="B12" s="92"/>
      <c r="C12" s="92"/>
      <c r="D12" s="92"/>
    </row>
    <row r="13" spans="1:4">
      <c r="A13" s="95" t="s">
        <v>2</v>
      </c>
      <c r="B13" s="95" t="s">
        <v>598</v>
      </c>
      <c r="C13" s="94" t="s">
        <v>589</v>
      </c>
      <c r="D13" s="94" t="s">
        <v>10</v>
      </c>
    </row>
    <row r="14" spans="1:4">
      <c r="A14" s="100" t="s">
        <v>591</v>
      </c>
      <c r="B14" s="100" t="s">
        <v>90</v>
      </c>
      <c r="C14" s="101">
        <f ca="1">COUNTIFS(TOTAL2026!C$2:C$1001,A14,TOTAL2026!F$2:F$1001,B14)</f>
        <v>4</v>
      </c>
      <c r="D14" s="102">
        <f ca="1">SUMIFS(TOTAL2026!K$2:K$1001,TOTAL2026!C$2:C$1001,A14,TOTAL2026!F$2:F$1001,B14)</f>
        <v>-5797.0199999999986</v>
      </c>
    </row>
    <row r="15" spans="1:4">
      <c r="A15" s="96" t="s">
        <v>591</v>
      </c>
      <c r="B15" s="96" t="s">
        <v>94</v>
      </c>
      <c r="C15" s="93">
        <f ca="1">COUNTIFS(TOTAL2026!C$2:C$1001,A15,TOTAL2026!F$2:F$1001,B15)</f>
        <v>2</v>
      </c>
      <c r="D15" s="97">
        <f ca="1">SUMIFS(TOTAL2026!K$2:K$1001,TOTAL2026!C$2:C$1001,A15,TOTAL2026!F$2:F$1001,B15)</f>
        <v>-3416</v>
      </c>
    </row>
    <row r="16" spans="1:4">
      <c r="A16" s="100" t="s">
        <v>591</v>
      </c>
      <c r="B16" s="100" t="s">
        <v>65</v>
      </c>
      <c r="C16" s="101">
        <f ca="1">COUNTIFS(TOTAL2026!C$2:C$1001,A16,TOTAL2026!F$2:F$1001,B16)</f>
        <v>1</v>
      </c>
      <c r="D16" s="102">
        <f ca="1">SUMIFS(TOTAL2026!K$2:K$1001,TOTAL2026!C$2:C$1001,A16,TOTAL2026!F$2:F$1001,B16)</f>
        <v>-4000</v>
      </c>
    </row>
    <row r="17" spans="1:4">
      <c r="A17" s="96" t="s">
        <v>591</v>
      </c>
      <c r="B17" s="96" t="s">
        <v>111</v>
      </c>
      <c r="C17" s="93">
        <f ca="1">COUNTIFS(TOTAL2026!C$2:C$1001,A17,TOTAL2026!F$2:F$1001,B17)</f>
        <v>3</v>
      </c>
      <c r="D17" s="97">
        <f ca="1">SUMIFS(TOTAL2026!K$2:K$1001,TOTAL2026!C$2:C$1001,A17,TOTAL2026!F$2:F$1001,B17)</f>
        <v>-3968.42</v>
      </c>
    </row>
    <row r="18" spans="1:4">
      <c r="A18" s="100" t="s">
        <v>591</v>
      </c>
      <c r="B18" s="100" t="s">
        <v>118</v>
      </c>
      <c r="C18" s="101">
        <f ca="1">COUNTIFS(TOTAL2026!C$2:C$1001,A18,TOTAL2026!F$2:F$1001,B18)</f>
        <v>1</v>
      </c>
      <c r="D18" s="102">
        <f ca="1">SUMIFS(TOTAL2026!K$2:K$1001,TOTAL2026!C$2:C$1001,A18,TOTAL2026!F$2:F$1001,B18)</f>
        <v>-599.52</v>
      </c>
    </row>
    <row r="19" spans="1:4">
      <c r="A19" s="96" t="s">
        <v>591</v>
      </c>
      <c r="B19" s="96" t="s">
        <v>115</v>
      </c>
      <c r="C19" s="93">
        <f ca="1">COUNTIFS(TOTAL2026!C$2:C$1001,A19,TOTAL2026!F$2:F$1001,B19)</f>
        <v>1</v>
      </c>
      <c r="D19" s="97">
        <f ca="1">SUMIFS(TOTAL2026!K$2:K$1001,TOTAL2026!C$2:C$1001,A19,TOTAL2026!F$2:F$1001,B19)</f>
        <v>-2176.19</v>
      </c>
    </row>
    <row r="20" spans="1:4">
      <c r="A20" s="100" t="s">
        <v>591</v>
      </c>
      <c r="B20" s="100" t="s">
        <v>98</v>
      </c>
      <c r="C20" s="101">
        <f ca="1">COUNTIFS(TOTAL2026!C$2:C$1001,A20,TOTAL2026!F$2:F$1001,B20)</f>
        <v>1</v>
      </c>
      <c r="D20" s="102">
        <f ca="1">SUMIFS(TOTAL2026!K$2:K$1001,TOTAL2026!C$2:C$1001,A20,TOTAL2026!F$2:F$1001,B20)</f>
        <v>2176.19</v>
      </c>
    </row>
    <row r="21" spans="1:4">
      <c r="A21" s="96" t="s">
        <v>592</v>
      </c>
      <c r="B21" s="96" t="s">
        <v>132</v>
      </c>
      <c r="C21" s="93">
        <f ca="1">COUNTIFS(TOTAL2026!C$2:C$1001,A21,TOTAL2026!F$2:F$1001,B21)</f>
        <v>3</v>
      </c>
      <c r="D21" s="97">
        <f ca="1">SUMIFS(TOTAL2026!K$2:K$1001,TOTAL2026!C$2:C$1001,A21,TOTAL2026!F$2:F$1001,B21)</f>
        <v>-4196.6400000000003</v>
      </c>
    </row>
    <row r="22" spans="1:4">
      <c r="A22" s="100" t="s">
        <v>592</v>
      </c>
      <c r="B22" s="100" t="s">
        <v>69</v>
      </c>
      <c r="C22" s="101">
        <f ca="1">COUNTIFS(TOTAL2026!C$2:C$1001,A22,TOTAL2026!F$2:F$1001,B22)</f>
        <v>1</v>
      </c>
      <c r="D22" s="102">
        <f ca="1">SUMIFS(TOTAL2026!K$2:K$1001,TOTAL2026!C$2:C$1001,A22,TOTAL2026!F$2:F$1001,B22)</f>
        <v>-626.99</v>
      </c>
    </row>
    <row r="23" spans="1:4">
      <c r="A23" s="96" t="s">
        <v>592</v>
      </c>
      <c r="B23" s="96" t="s">
        <v>51</v>
      </c>
      <c r="C23" s="93">
        <f ca="1">COUNTIFS(TOTAL2026!C$2:C$1001,A23,TOTAL2026!F$2:F$1001,B23)</f>
        <v>1</v>
      </c>
      <c r="D23" s="97">
        <f ca="1">SUMIFS(TOTAL2026!K$2:K$1001,TOTAL2026!C$2:C$1001,A23,TOTAL2026!F$2:F$1001,B23)</f>
        <v>-4701.07</v>
      </c>
    </row>
    <row r="24" spans="1:4">
      <c r="A24" s="100" t="s">
        <v>592</v>
      </c>
      <c r="B24" s="100" t="s">
        <v>100</v>
      </c>
      <c r="C24" s="101">
        <f ca="1">COUNTIFS(TOTAL2026!C$2:C$1001,A24,TOTAL2026!F$2:F$1001,B24)</f>
        <v>1</v>
      </c>
      <c r="D24" s="102">
        <f ca="1">SUMIFS(TOTAL2026!K$2:K$1001,TOTAL2026!C$2:C$1001,A24,TOTAL2026!F$2:F$1001,B24)</f>
        <v>-4215.8599999999997</v>
      </c>
    </row>
    <row r="25" spans="1:4">
      <c r="A25" s="96" t="s">
        <v>592</v>
      </c>
      <c r="B25" s="96" t="s">
        <v>72</v>
      </c>
      <c r="C25" s="93">
        <f ca="1">COUNTIFS(TOTAL2026!C$2:C$1001,A25,TOTAL2026!F$2:F$1001,B25)</f>
        <v>1</v>
      </c>
      <c r="D25" s="97">
        <f ca="1">SUMIFS(TOTAL2026!K$2:K$1001,TOTAL2026!C$2:C$1001,A25,TOTAL2026!F$2:F$1001,B25)</f>
        <v>-310.5</v>
      </c>
    </row>
    <row r="26" spans="1:4">
      <c r="A26" s="100" t="s">
        <v>592</v>
      </c>
      <c r="B26" s="100" t="s">
        <v>119</v>
      </c>
      <c r="C26" s="101">
        <f ca="1">COUNTIFS(TOTAL2026!C$2:C$1001,A26,TOTAL2026!F$2:F$1001,B26)</f>
        <v>1</v>
      </c>
      <c r="D26" s="102">
        <f ca="1">SUMIFS(TOTAL2026!K$2:K$1001,TOTAL2026!C$2:C$1001,A26,TOTAL2026!F$2:F$1001,B26)</f>
        <v>0</v>
      </c>
    </row>
    <row r="27" spans="1:4">
      <c r="A27" s="96" t="s">
        <v>593</v>
      </c>
      <c r="B27" s="96" t="s">
        <v>35</v>
      </c>
      <c r="C27" s="93">
        <f ca="1">COUNTIFS(TOTAL2026!C$2:C$1001,A27,TOTAL2026!F$2:F$1001,B27)</f>
        <v>2</v>
      </c>
      <c r="D27" s="97">
        <f ca="1">SUMIFS(TOTAL2026!K$2:K$1001,TOTAL2026!C$2:C$1001,A27,TOTAL2026!F$2:F$1001,B27)</f>
        <v>-2188</v>
      </c>
    </row>
    <row r="28" spans="1:4">
      <c r="A28" s="100" t="s">
        <v>593</v>
      </c>
      <c r="B28" s="100" t="s">
        <v>123</v>
      </c>
      <c r="C28" s="101">
        <f ca="1">COUNTIFS(TOTAL2026!C$2:C$1001,A28,TOTAL2026!F$2:F$1001,B28)</f>
        <v>1</v>
      </c>
      <c r="D28" s="102">
        <f ca="1">SUMIFS(TOTAL2026!K$2:K$1001,TOTAL2026!C$2:C$1001,A28,TOTAL2026!F$2:F$1001,B28)</f>
        <v>-13700</v>
      </c>
    </row>
    <row r="29" spans="1:4">
      <c r="A29" s="96" t="s">
        <v>593</v>
      </c>
      <c r="B29" s="96" t="s">
        <v>114</v>
      </c>
      <c r="C29" s="93">
        <f ca="1">COUNTIFS(TOTAL2026!C$2:C$1001,A29,TOTAL2026!F$2:F$1001,B29)</f>
        <v>1</v>
      </c>
      <c r="D29" s="97">
        <f ca="1">SUMIFS(TOTAL2026!K$2:K$1001,TOTAL2026!C$2:C$1001,A29,TOTAL2026!F$2:F$1001,B29)</f>
        <v>-1171.53</v>
      </c>
    </row>
    <row r="30" spans="1:4">
      <c r="A30" s="100" t="s">
        <v>593</v>
      </c>
      <c r="B30" s="100" t="s">
        <v>18</v>
      </c>
      <c r="C30" s="101">
        <f ca="1">COUNTIFS(TOTAL2026!C$2:C$1001,A30,TOTAL2026!F$2:F$1001,B30)</f>
        <v>1</v>
      </c>
      <c r="D30" s="102">
        <f ca="1">SUMIFS(TOTAL2026!K$2:K$1001,TOTAL2026!C$2:C$1001,A30,TOTAL2026!F$2:F$1001,B30)</f>
        <v>-4432</v>
      </c>
    </row>
    <row r="31" spans="1:4">
      <c r="A31" s="96" t="s">
        <v>593</v>
      </c>
      <c r="B31" s="96" t="s">
        <v>79</v>
      </c>
      <c r="C31" s="93">
        <f ca="1">COUNTIFS(TOTAL2026!C$2:C$1001,A31,TOTAL2026!F$2:F$1001,B31)</f>
        <v>1</v>
      </c>
      <c r="D31" s="97">
        <f ca="1">SUMIFS(TOTAL2026!K$2:K$1001,TOTAL2026!C$2:C$1001,A31,TOTAL2026!F$2:F$1001,B31)</f>
        <v>-980.85</v>
      </c>
    </row>
    <row r="32" spans="1:4">
      <c r="A32" s="100" t="s">
        <v>594</v>
      </c>
      <c r="B32" s="100" t="s">
        <v>57</v>
      </c>
      <c r="C32" s="101">
        <f ca="1">COUNTIFS(TOTAL2026!C$2:C$1001,A32,TOTAL2026!F$2:F$1001,B32)</f>
        <v>1</v>
      </c>
      <c r="D32" s="102">
        <f ca="1">SUMIFS(TOTAL2026!K$2:K$1001,TOTAL2026!C$2:C$1001,A32,TOTAL2026!F$2:F$1001,B32)</f>
        <v>0</v>
      </c>
    </row>
    <row r="33" spans="1:4">
      <c r="A33" s="96" t="s">
        <v>594</v>
      </c>
      <c r="B33" s="96" t="s">
        <v>78</v>
      </c>
      <c r="C33" s="93">
        <f ca="1">COUNTIFS(TOTAL2026!C$2:C$1001,A33,TOTAL2026!F$2:F$1001,B33)</f>
        <v>1</v>
      </c>
      <c r="D33" s="97">
        <f ca="1">SUMIFS(TOTAL2026!K$2:K$1001,TOTAL2026!C$2:C$1001,A33,TOTAL2026!F$2:F$1001,B33)</f>
        <v>-609.9</v>
      </c>
    </row>
    <row r="34" spans="1:4">
      <c r="A34" s="100" t="s">
        <v>594</v>
      </c>
      <c r="B34" s="100" t="s">
        <v>44</v>
      </c>
      <c r="C34" s="101">
        <f ca="1">COUNTIFS(TOTAL2026!C$2:C$1001,A34,TOTAL2026!F$2:F$1001,B34)</f>
        <v>2</v>
      </c>
      <c r="D34" s="102">
        <f ca="1">SUMIFS(TOTAL2026!K$2:K$1001,TOTAL2026!C$2:C$1001,A34,TOTAL2026!F$2:F$1001,B34)</f>
        <v>-2772.26</v>
      </c>
    </row>
    <row r="35" spans="1:4">
      <c r="A35" s="96" t="s">
        <v>594</v>
      </c>
      <c r="B35" s="96" t="s">
        <v>109</v>
      </c>
      <c r="C35" s="93">
        <f ca="1">COUNTIFS(TOTAL2026!C$2:C$1001,A35,TOTAL2026!F$2:F$1001,B35)</f>
        <v>1</v>
      </c>
      <c r="D35" s="97">
        <f ca="1">SUMIFS(TOTAL2026!K$2:K$1001,TOTAL2026!C$2:C$1001,A35,TOTAL2026!F$2:F$1001,B35)</f>
        <v>-2268.6</v>
      </c>
    </row>
    <row r="36" spans="1:4">
      <c r="A36" s="100" t="s">
        <v>594</v>
      </c>
      <c r="B36" s="100" t="s">
        <v>85</v>
      </c>
      <c r="C36" s="101">
        <f ca="1">COUNTIFS(TOTAL2026!C$2:C$1001,A36,TOTAL2026!F$2:F$1001,B36)</f>
        <v>1</v>
      </c>
      <c r="D36" s="102">
        <f ca="1">SUMIFS(TOTAL2026!K$2:K$1001,TOTAL2026!C$2:C$1001,A36,TOTAL2026!F$2:F$1001,B36)</f>
        <v>-1000</v>
      </c>
    </row>
    <row r="37" spans="1:4">
      <c r="A37" s="96" t="s">
        <v>594</v>
      </c>
      <c r="B37" s="96" t="s">
        <v>88</v>
      </c>
      <c r="C37" s="93">
        <f ca="1">COUNTIFS(TOTAL2026!C$2:C$1001,A37,TOTAL2026!F$2:F$1001,B37)</f>
        <v>1</v>
      </c>
      <c r="D37" s="97">
        <f ca="1">SUMIFS(TOTAL2026!K$2:K$1001,TOTAL2026!C$2:C$1001,A37,TOTAL2026!F$2:F$1001,B37)</f>
        <v>-600</v>
      </c>
    </row>
    <row r="38" spans="1:4">
      <c r="A38" s="100" t="s">
        <v>594</v>
      </c>
      <c r="B38" s="100" t="s">
        <v>29</v>
      </c>
      <c r="C38" s="101">
        <f ca="1">COUNTIFS(TOTAL2026!C$2:C$1001,A38,TOTAL2026!F$2:F$1001,B38)</f>
        <v>1</v>
      </c>
      <c r="D38" s="102">
        <f ca="1">SUMIFS(TOTAL2026!K$2:K$1001,TOTAL2026!C$2:C$1001,A38,TOTAL2026!F$2:F$1001,B38)</f>
        <v>-1663.35</v>
      </c>
    </row>
    <row r="39" spans="1:4">
      <c r="A39" s="96" t="s">
        <v>594</v>
      </c>
      <c r="B39" s="96" t="s">
        <v>77</v>
      </c>
      <c r="C39" s="93">
        <f ca="1">COUNTIFS(TOTAL2026!C$2:C$1001,A39,TOTAL2026!F$2:F$1001,B39)</f>
        <v>1</v>
      </c>
      <c r="D39" s="97">
        <f ca="1">SUMIFS(TOTAL2026!K$2:K$1001,TOTAL2026!C$2:C$1001,A39,TOTAL2026!F$2:F$1001,B39)</f>
        <v>-609.9</v>
      </c>
    </row>
    <row r="40" spans="1:4">
      <c r="A40" s="100" t="s">
        <v>594</v>
      </c>
      <c r="B40" s="100" t="s">
        <v>131</v>
      </c>
      <c r="C40" s="101">
        <f ca="1">COUNTIFS(TOTAL2026!C$2:C$1001,A40,TOTAL2026!F$2:F$1001,B40)</f>
        <v>1</v>
      </c>
      <c r="D40" s="102">
        <f ca="1">SUMIFS(TOTAL2026!K$2:K$1001,TOTAL2026!C$2:C$1001,A40,TOTAL2026!F$2:F$1001,B40)</f>
        <v>-600</v>
      </c>
    </row>
    <row r="41" spans="1:4">
      <c r="A41" s="96" t="s">
        <v>594</v>
      </c>
      <c r="B41" s="96" t="s">
        <v>31</v>
      </c>
      <c r="C41" s="93">
        <f ca="1">COUNTIFS(TOTAL2026!C$2:C$1001,A41,TOTAL2026!F$2:F$1001,B41)</f>
        <v>9</v>
      </c>
      <c r="D41" s="97">
        <f ca="1">SUMIFS(TOTAL2026!K$2:K$1001,TOTAL2026!C$2:C$1001,A41,TOTAL2026!F$2:F$1001,B41)</f>
        <v>1759.0800000000013</v>
      </c>
    </row>
    <row r="42" spans="1:4">
      <c r="A42" s="100" t="s">
        <v>594</v>
      </c>
      <c r="B42" s="100" t="s">
        <v>41</v>
      </c>
      <c r="C42" s="101">
        <f ca="1">COUNTIFS(TOTAL2026!C$2:C$1001,A42,TOTAL2026!F$2:F$1001,B42)</f>
        <v>1</v>
      </c>
      <c r="D42" s="102">
        <f ca="1">SUMIFS(TOTAL2026!K$2:K$1001,TOTAL2026!C$2:C$1001,A42,TOTAL2026!F$2:F$1001,B42)</f>
        <v>-973</v>
      </c>
    </row>
    <row r="43" spans="1:4">
      <c r="A43" s="96" t="s">
        <v>594</v>
      </c>
      <c r="B43" s="96" t="s">
        <v>599</v>
      </c>
      <c r="C43" s="93">
        <f ca="1">COUNTIFS(TOTAL2026!C$2:C$1001,A43,TOTAL2026!F$2:F$1001,B43)</f>
        <v>0</v>
      </c>
      <c r="D43" s="97">
        <f ca="1">SUMIFS(TOTAL2026!K$2:K$1001,TOTAL2026!C$2:C$1001,A43,TOTAL2026!F$2:F$1001,B43)</f>
        <v>0</v>
      </c>
    </row>
    <row r="44" spans="1:4">
      <c r="A44" s="100" t="s">
        <v>594</v>
      </c>
      <c r="B44" s="100" t="s">
        <v>38</v>
      </c>
      <c r="C44" s="101">
        <f ca="1">COUNTIFS(TOTAL2026!C$2:C$1001,A44,TOTAL2026!F$2:F$1001,B44)</f>
        <v>1</v>
      </c>
      <c r="D44" s="102">
        <f ca="1">SUMIFS(TOTAL2026!K$2:K$1001,TOTAL2026!C$2:C$1001,A44,TOTAL2026!F$2:F$1001,B44)</f>
        <v>-205.75</v>
      </c>
    </row>
    <row r="45" spans="1:4">
      <c r="A45" s="96" t="s">
        <v>594</v>
      </c>
      <c r="B45" s="96" t="s">
        <v>61</v>
      </c>
      <c r="C45" s="93">
        <f ca="1">COUNTIFS(TOTAL2026!C$2:C$1001,A45,TOTAL2026!F$2:F$1001,B45)</f>
        <v>1</v>
      </c>
      <c r="D45" s="97">
        <f ca="1">SUMIFS(TOTAL2026!K$2:K$1001,TOTAL2026!C$2:C$1001,A45,TOTAL2026!F$2:F$1001,B45)</f>
        <v>-443.56</v>
      </c>
    </row>
    <row r="46" spans="1:4">
      <c r="A46" s="100" t="s">
        <v>594</v>
      </c>
      <c r="B46" s="100" t="s">
        <v>22</v>
      </c>
      <c r="C46" s="101">
        <f ca="1">COUNTIFS(TOTAL2026!C$2:C$1001,A46,TOTAL2026!F$2:F$1001,B46)</f>
        <v>1</v>
      </c>
      <c r="D46" s="102">
        <f ca="1">SUMIFS(TOTAL2026!K$2:K$1001,TOTAL2026!C$2:C$1001,A46,TOTAL2026!F$2:F$1001,B46)</f>
        <v>-1700</v>
      </c>
    </row>
    <row r="47" spans="1:4">
      <c r="A47" s="96" t="s">
        <v>594</v>
      </c>
      <c r="B47" s="96" t="s">
        <v>82</v>
      </c>
      <c r="C47" s="93">
        <f ca="1">COUNTIFS(TOTAL2026!C$2:C$1001,A47,TOTAL2026!F$2:F$1001,B47)</f>
        <v>1</v>
      </c>
      <c r="D47" s="97">
        <f ca="1">SUMIFS(TOTAL2026!K$2:K$1001,TOTAL2026!C$2:C$1001,A47,TOTAL2026!F$2:F$1001,B47)</f>
        <v>-3353.99</v>
      </c>
    </row>
    <row r="48" spans="1:4">
      <c r="A48" s="100" t="s">
        <v>594</v>
      </c>
      <c r="B48" s="100" t="s">
        <v>26</v>
      </c>
      <c r="C48" s="101">
        <f ca="1">COUNTIFS(TOTAL2026!C$2:C$1001,A48,TOTAL2026!F$2:F$1001,B48)</f>
        <v>1</v>
      </c>
      <c r="D48" s="102">
        <f ca="1">SUMIFS(TOTAL2026!K$2:K$1001,TOTAL2026!C$2:C$1001,A48,TOTAL2026!F$2:F$1001,B48)</f>
        <v>-1663.35</v>
      </c>
    </row>
    <row r="49" spans="1:4">
      <c r="A49" s="96" t="s">
        <v>594</v>
      </c>
      <c r="B49" s="96" t="s">
        <v>86</v>
      </c>
      <c r="C49" s="93">
        <f ca="1">COUNTIFS(TOTAL2026!C$2:C$1001,A49,TOTAL2026!F$2:F$1001,B49)</f>
        <v>1</v>
      </c>
      <c r="D49" s="97">
        <f ca="1">SUMIFS(TOTAL2026!K$2:K$1001,TOTAL2026!C$2:C$1001,A49,TOTAL2026!F$2:F$1001,B49)</f>
        <v>-900</v>
      </c>
    </row>
    <row r="50" spans="1:4">
      <c r="A50" s="100" t="s">
        <v>594</v>
      </c>
      <c r="B50" s="100" t="s">
        <v>48</v>
      </c>
      <c r="C50" s="101">
        <f ca="1">COUNTIFS(TOTAL2026!C$2:C$1001,A50,TOTAL2026!F$2:F$1001,B50)</f>
        <v>1</v>
      </c>
      <c r="D50" s="102">
        <f ca="1">SUMIFS(TOTAL2026!K$2:K$1001,TOTAL2026!C$2:C$1001,A50,TOTAL2026!F$2:F$1001,B50)</f>
        <v>-600</v>
      </c>
    </row>
    <row r="51" spans="1:4">
      <c r="A51" s="96" t="s">
        <v>595</v>
      </c>
      <c r="B51" s="96" t="s">
        <v>125</v>
      </c>
      <c r="C51" s="93">
        <f ca="1">COUNTIFS(TOTAL2026!C$2:C$1001,A51,TOTAL2026!F$2:F$1001,B51)</f>
        <v>1</v>
      </c>
      <c r="D51" s="97">
        <f ca="1">SUMIFS(TOTAL2026!K$2:K$1001,TOTAL2026!C$2:C$1001,A51,TOTAL2026!F$2:F$1001,B51)</f>
        <v>-490.51</v>
      </c>
    </row>
    <row r="52" spans="1:4">
      <c r="A52" s="100" t="s">
        <v>595</v>
      </c>
      <c r="B52" s="100" t="s">
        <v>59</v>
      </c>
      <c r="C52" s="101">
        <f ca="1">COUNTIFS(TOTAL2026!C$2:C$1001,A52,TOTAL2026!F$2:F$1001,B52)</f>
        <v>1</v>
      </c>
      <c r="D52" s="102">
        <f ca="1">SUMIFS(TOTAL2026!K$2:K$1001,TOTAL2026!C$2:C$1001,A52,TOTAL2026!F$2:F$1001,B52)</f>
        <v>-133.07</v>
      </c>
    </row>
    <row r="53" spans="1:4">
      <c r="A53" s="96" t="s">
        <v>595</v>
      </c>
      <c r="B53" s="96" t="s">
        <v>74</v>
      </c>
      <c r="C53" s="93">
        <f ca="1">COUNTIFS(TOTAL2026!C$2:C$1001,A53,TOTAL2026!F$2:F$1001,B53)</f>
        <v>5</v>
      </c>
      <c r="D53" s="97">
        <f ca="1">SUMIFS(TOTAL2026!K$2:K$1001,TOTAL2026!C$2:C$1001,A53,TOTAL2026!F$2:F$1001,B53)</f>
        <v>-6026.57</v>
      </c>
    </row>
    <row r="54" spans="1:4">
      <c r="A54" s="100" t="s">
        <v>595</v>
      </c>
      <c r="B54" s="100" t="s">
        <v>63</v>
      </c>
      <c r="C54" s="101">
        <f ca="1">COUNTIFS(TOTAL2026!C$2:C$1001,A54,TOTAL2026!F$2:F$1001,B54)</f>
        <v>1</v>
      </c>
      <c r="D54" s="102">
        <f ca="1">SUMIFS(TOTAL2026!K$2:K$1001,TOTAL2026!C$2:C$1001,A54,TOTAL2026!F$2:F$1001,B54)</f>
        <v>-899</v>
      </c>
    </row>
    <row r="55" spans="1:4">
      <c r="A55" s="96" t="s">
        <v>595</v>
      </c>
      <c r="B55" s="96" t="s">
        <v>55</v>
      </c>
      <c r="C55" s="93">
        <f ca="1">COUNTIFS(TOTAL2026!C$2:C$1001,A55,TOTAL2026!F$2:F$1001,B55)</f>
        <v>1</v>
      </c>
      <c r="D55" s="97">
        <f ca="1">SUMIFS(TOTAL2026!K$2:K$1001,TOTAL2026!C$2:C$1001,A55,TOTAL2026!F$2:F$1001,B55)</f>
        <v>-1500</v>
      </c>
    </row>
    <row r="56" spans="1:4">
      <c r="A56" s="95" t="s">
        <v>596</v>
      </c>
      <c r="B56" s="99"/>
      <c r="C56" s="94">
        <f ca="1">SUM(C14:C55)</f>
        <v>63</v>
      </c>
      <c r="D56" s="98">
        <f ca="1">SUM(D14:D55)</f>
        <v>-81558.13</v>
      </c>
    </row>
    <row r="58" spans="1:4">
      <c r="A58" s="103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TOTAL2026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gastosporcentro</vt:lpstr>
      <vt:lpstr>solocontratosorl</vt:lpstr>
      <vt:lpstr>gastosorl</vt:lpstr>
      <vt:lpstr>códigos</vt:lpstr>
      <vt:lpstr>Resumen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Moreno Ponce</cp:lastModifiedBy>
  <dcterms:modified xsi:type="dcterms:W3CDTF">2026-04-09T08:25:38Z</dcterms:modified>
</cp:coreProperties>
</file>